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/Library/CloudStorage/GoogleDrive-lucasesteban.wange@upf.edu/My Drive/Projects/Cryozoo/1.Species_selection/data/"/>
    </mc:Choice>
  </mc:AlternateContent>
  <xr:revisionPtr revIDLastSave="0" documentId="13_ncr:1_{C3F84B4C-0D16-2B4B-A39C-E34DEC7F84FB}" xr6:coauthVersionLast="47" xr6:coauthVersionMax="47" xr10:uidLastSave="{00000000-0000-0000-0000-000000000000}"/>
  <bookViews>
    <workbookView xWindow="-30820" yWindow="-8080" windowWidth="30240" windowHeight="18880" xr2:uid="{39E46D7A-3D19-4227-ADE9-3D74D5B98946}"/>
  </bookViews>
  <sheets>
    <sheet name="nam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G21" i="1" s="1"/>
  <c r="F21" i="1"/>
  <c r="F20" i="1"/>
  <c r="E20" i="1"/>
  <c r="E19" i="1"/>
  <c r="F19" i="1"/>
  <c r="F18" i="1"/>
  <c r="F17" i="1"/>
  <c r="E18" i="1"/>
  <c r="G18" i="1" s="1"/>
  <c r="E17" i="1"/>
  <c r="E16" i="1"/>
  <c r="F6" i="1"/>
  <c r="E6" i="1"/>
  <c r="G6" i="1" s="1"/>
  <c r="F16" i="1"/>
  <c r="G16" i="1" s="1"/>
  <c r="F9" i="1"/>
  <c r="E9" i="1"/>
  <c r="F8" i="1"/>
  <c r="E8" i="1"/>
  <c r="G8" i="1" s="1"/>
  <c r="F2" i="1"/>
  <c r="E2" i="1"/>
  <c r="F7" i="1"/>
  <c r="E7" i="1"/>
  <c r="F14" i="1"/>
  <c r="E14" i="1"/>
  <c r="F13" i="1"/>
  <c r="E13" i="1"/>
  <c r="F11" i="1"/>
  <c r="E11" i="1"/>
  <c r="G11" i="1" s="1"/>
  <c r="F15" i="1"/>
  <c r="E15" i="1"/>
  <c r="F10" i="1"/>
  <c r="E10" i="1"/>
  <c r="F4" i="1"/>
  <c r="E4" i="1"/>
  <c r="F5" i="1"/>
  <c r="E5" i="1"/>
  <c r="F12" i="1"/>
  <c r="E12" i="1"/>
  <c r="F3" i="1"/>
  <c r="E3" i="1"/>
  <c r="F34" i="2"/>
  <c r="E34" i="2"/>
  <c r="E18" i="2"/>
  <c r="G18" i="2" s="1"/>
  <c r="F18" i="2"/>
  <c r="E19" i="2"/>
  <c r="F19" i="2"/>
  <c r="G19" i="2"/>
  <c r="F17" i="2"/>
  <c r="E17" i="2"/>
  <c r="G17" i="2" s="1"/>
  <c r="F33" i="2"/>
  <c r="E33" i="2"/>
  <c r="G33" i="2" s="1"/>
  <c r="F32" i="2"/>
  <c r="E32" i="2"/>
  <c r="G32" i="2" s="1"/>
  <c r="F16" i="2"/>
  <c r="E16" i="2"/>
  <c r="G16" i="2" s="1"/>
  <c r="F15" i="2"/>
  <c r="E15" i="2"/>
  <c r="F14" i="2"/>
  <c r="E14" i="2"/>
  <c r="G14" i="2" s="1"/>
  <c r="F13" i="2"/>
  <c r="E13" i="2"/>
  <c r="G13" i="2" s="1"/>
  <c r="F31" i="2"/>
  <c r="E31" i="2"/>
  <c r="G31" i="2" s="1"/>
  <c r="F30" i="2"/>
  <c r="E30" i="2"/>
  <c r="G30" i="2" s="1"/>
  <c r="F29" i="2"/>
  <c r="E29" i="2"/>
  <c r="G29" i="2" s="1"/>
  <c r="F28" i="2"/>
  <c r="E28" i="2"/>
  <c r="F12" i="2"/>
  <c r="E12" i="2"/>
  <c r="G12" i="2" s="1"/>
  <c r="F11" i="2"/>
  <c r="E11" i="2"/>
  <c r="G11" i="2" s="1"/>
  <c r="F10" i="2"/>
  <c r="E10" i="2"/>
  <c r="F9" i="2"/>
  <c r="E9" i="2"/>
  <c r="F27" i="2"/>
  <c r="E27" i="2"/>
  <c r="F26" i="2"/>
  <c r="E26" i="2"/>
  <c r="G26" i="2" s="1"/>
  <c r="F8" i="2"/>
  <c r="E8" i="2"/>
  <c r="F7" i="2"/>
  <c r="E7" i="2"/>
  <c r="F6" i="2"/>
  <c r="E6" i="2"/>
  <c r="G6" i="2" s="1"/>
  <c r="F25" i="2"/>
  <c r="E25" i="2"/>
  <c r="F24" i="2"/>
  <c r="E24" i="2"/>
  <c r="F5" i="2"/>
  <c r="E5" i="2"/>
  <c r="G5" i="2" s="1"/>
  <c r="F4" i="2"/>
  <c r="E4" i="2"/>
  <c r="G4" i="2" s="1"/>
  <c r="F23" i="2"/>
  <c r="E23" i="2"/>
  <c r="G23" i="2" s="1"/>
  <c r="F3" i="2"/>
  <c r="E3" i="2"/>
  <c r="F22" i="2"/>
  <c r="E22" i="2"/>
  <c r="G22" i="2" s="1"/>
  <c r="F2" i="2"/>
  <c r="E2" i="2"/>
  <c r="G2" i="2" s="1"/>
  <c r="F21" i="2"/>
  <c r="E21" i="2"/>
  <c r="G21" i="2" s="1"/>
  <c r="F20" i="2"/>
  <c r="E20" i="2"/>
  <c r="G20" i="2" s="1"/>
  <c r="G20" i="1" l="1"/>
  <c r="G19" i="1"/>
  <c r="G17" i="1"/>
  <c r="G12" i="1"/>
  <c r="G14" i="1"/>
  <c r="G9" i="1"/>
  <c r="G5" i="1"/>
  <c r="G2" i="1"/>
  <c r="G4" i="1"/>
  <c r="G13" i="1"/>
  <c r="G7" i="1"/>
  <c r="G10" i="1"/>
  <c r="G3" i="1"/>
  <c r="G15" i="1"/>
  <c r="G34" i="2"/>
  <c r="G3" i="2"/>
  <c r="G27" i="2"/>
  <c r="G15" i="2"/>
  <c r="G7" i="2"/>
  <c r="G8" i="2"/>
  <c r="G28" i="2"/>
  <c r="G24" i="2"/>
  <c r="G9" i="2"/>
  <c r="G25" i="2"/>
  <c r="G10" i="2"/>
</calcChain>
</file>

<file path=xl/sharedStrings.xml><?xml version="1.0" encoding="utf-8"?>
<sst xmlns="http://schemas.openxmlformats.org/spreadsheetml/2006/main" count="223" uniqueCount="87">
  <si>
    <t xml:space="preserve">Choeropsis liberiensis	</t>
  </si>
  <si>
    <t>Oryx gazelle</t>
  </si>
  <si>
    <t>Oryx gazella</t>
  </si>
  <si>
    <t>Kobus leche</t>
  </si>
  <si>
    <t>Zalophus californianus</t>
  </si>
  <si>
    <t>Pteropus lylei</t>
  </si>
  <si>
    <t>Pteropus liley</t>
  </si>
  <si>
    <t>Notamacropus rufogriseus</t>
  </si>
  <si>
    <t>Macropus rufogriseus</t>
  </si>
  <si>
    <t>Osphranter rufus</t>
  </si>
  <si>
    <t>Macropus rufus</t>
  </si>
  <si>
    <t>Equus ferus</t>
  </si>
  <si>
    <t>Hexaprotodon liberiensis</t>
  </si>
  <si>
    <t>Plegasid falcinellus</t>
  </si>
  <si>
    <t xml:space="preserve">Paleosunchus palpebrosus	</t>
  </si>
  <si>
    <t>Aldabrachelys gigantea</t>
  </si>
  <si>
    <t>Amazona autumnalis</t>
  </si>
  <si>
    <t>Guaruba guarouba</t>
  </si>
  <si>
    <t>Paleosuchus palpebrosus</t>
  </si>
  <si>
    <t>Plegadis falcinellus</t>
  </si>
  <si>
    <t>group</t>
  </si>
  <si>
    <t>Mammals</t>
  </si>
  <si>
    <t>Tetra</t>
  </si>
  <si>
    <t>Pongo pygmeaus</t>
  </si>
  <si>
    <t>Crocodylus rhombifer</t>
  </si>
  <si>
    <t>Equus quagga</t>
  </si>
  <si>
    <t>Pongo pygmaeus</t>
  </si>
  <si>
    <t>Hystrix cristata</t>
  </si>
  <si>
    <t>scientific_name_species</t>
  </si>
  <si>
    <t>scientific_name_sample</t>
  </si>
  <si>
    <t>Guaraba guarouba</t>
  </si>
  <si>
    <t>Hystrix</t>
  </si>
  <si>
    <t>Southern Lechwe</t>
  </si>
  <si>
    <t xml:space="preserve">Zalophus californianos </t>
  </si>
  <si>
    <t>Monchino Horse</t>
  </si>
  <si>
    <t>Ibicean Rabbit</t>
  </si>
  <si>
    <t>Amazona Lilacina</t>
  </si>
  <si>
    <t>Geochelone gigantea</t>
  </si>
  <si>
    <t xml:space="preserve">Crocodrylus rhombifer </t>
  </si>
  <si>
    <t>Equus quagga chapmani</t>
  </si>
  <si>
    <t>Equus burchelli chapmanni</t>
  </si>
  <si>
    <t>Pongo pygmaeus pygmaeus</t>
  </si>
  <si>
    <t>wrong_sample</t>
  </si>
  <si>
    <t>wrong_species</t>
  </si>
  <si>
    <t>Oryctolagus cuniculus ibicea</t>
  </si>
  <si>
    <t>correct_name</t>
  </si>
  <si>
    <t>Oryx gazele</t>
  </si>
  <si>
    <t>Carcharhinus plumbeus</t>
  </si>
  <si>
    <t>Carcharhinus amblyrhynchos</t>
  </si>
  <si>
    <t>Fish</t>
  </si>
  <si>
    <t>wrong_both</t>
  </si>
  <si>
    <t>Pavo cristatuts</t>
  </si>
  <si>
    <t>Pavo cristatus</t>
  </si>
  <si>
    <t>Pelecanus crispus</t>
  </si>
  <si>
    <t>Pelicanus crispus</t>
  </si>
  <si>
    <t>Graptemys pseudogeographica</t>
  </si>
  <si>
    <t>Graptemys</t>
  </si>
  <si>
    <t>Celestus warreni</t>
  </si>
  <si>
    <t>Caribicus warreni</t>
  </si>
  <si>
    <t>Cercocebus lunulatus</t>
  </si>
  <si>
    <t>Zanemis longissimus</t>
  </si>
  <si>
    <t>Zamenis scalari</t>
  </si>
  <si>
    <t>Rattus</t>
  </si>
  <si>
    <t>Zamenis longissimus</t>
  </si>
  <si>
    <t>Zamenis scalaris</t>
  </si>
  <si>
    <t>Rattus norvegicus</t>
  </si>
  <si>
    <t>Macroprotodon brevis</t>
  </si>
  <si>
    <t>Natrix helvética</t>
  </si>
  <si>
    <t>Natrix helvetica</t>
  </si>
  <si>
    <t>Camelus bactrianus</t>
  </si>
  <si>
    <t>Mungos mungo</t>
  </si>
  <si>
    <t>Ailurus fulgens</t>
  </si>
  <si>
    <t>Cercocebus  lunulatus</t>
  </si>
  <si>
    <t>Trachyphonus erythrocephalus</t>
  </si>
  <si>
    <t>Birds</t>
  </si>
  <si>
    <t>F/M/F</t>
  </si>
  <si>
    <t>Choeropsis liberiensis</t>
  </si>
  <si>
    <t>Astur gentilis</t>
  </si>
  <si>
    <t>Accipiter gentilis</t>
  </si>
  <si>
    <t>Canis lupus</t>
  </si>
  <si>
    <t>Canis lupus signatus</t>
  </si>
  <si>
    <t>Nanger dama mhorr</t>
  </si>
  <si>
    <t>Equus quagga chapmanni</t>
  </si>
  <si>
    <t>Nanger Dama</t>
  </si>
  <si>
    <t>Nanger Dama Mhorr</t>
  </si>
  <si>
    <t>Equus caballus przewalskii</t>
  </si>
  <si>
    <t>Equus przewalskii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</si>
</sst>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Lucida Sans"/>
      <family val="2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0D671E1A-946B-42F5-A866-326CBB954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02A2-E5CF-481A-A888-8A28D605A111}">
  <dimension ref="A1:G21"/>
  <sheetViews>
    <sheetView tabSelected="1" workbookViewId="0">
      <selection activeCell="G25" sqref="G25"/>
    </sheetView>
  </sheetViews>
  <sheetFormatPr baseColWidth="10" defaultColWidth="10.83203125" defaultRowHeight="15" x14ac:dyDescent="0.2"/>
  <cols>
    <col min="1" max="1" width="23.5" bestFit="1" customWidth="1"/>
    <col min="2" max="3" width="24.83203125" bestFit="1" customWidth="1"/>
  </cols>
  <sheetData>
    <row r="1" spans="1:7" s="1" customFormat="1" x14ac:dyDescent="0.2">
      <c r="A1" s="1" t="s">
        <v>28</v>
      </c>
      <c r="B1" s="1" t="s">
        <v>29</v>
      </c>
      <c r="C1" s="1" t="s">
        <v>45</v>
      </c>
      <c r="D1" s="1" t="s">
        <v>20</v>
      </c>
      <c r="E1" s="1" t="s">
        <v>42</v>
      </c>
      <c r="F1" s="1" t="s">
        <v>43</v>
      </c>
      <c r="G1" s="1" t="s">
        <v>50</v>
      </c>
    </row>
    <row r="2" spans="1:7" x14ac:dyDescent="0.2">
      <c r="A2" t="s">
        <v>36</v>
      </c>
      <c r="B2" t="s">
        <v>36</v>
      </c>
      <c r="C2" t="s">
        <v>16</v>
      </c>
      <c r="D2" t="s">
        <v>22</v>
      </c>
      <c r="E2" t="b">
        <f t="shared" ref="E2:E16" si="0">A2=C2</f>
        <v>0</v>
      </c>
      <c r="F2" t="b">
        <f t="shared" ref="F2:F16" si="1">B2=C2</f>
        <v>0</v>
      </c>
      <c r="G2" t="b">
        <f t="shared" ref="G2:G16" si="2">E2+F2=0</f>
        <v>1</v>
      </c>
    </row>
    <row r="3" spans="1:7" x14ac:dyDescent="0.2">
      <c r="A3" t="s">
        <v>59</v>
      </c>
      <c r="B3" t="s">
        <v>72</v>
      </c>
      <c r="C3" t="s">
        <v>59</v>
      </c>
      <c r="D3" t="s">
        <v>21</v>
      </c>
      <c r="E3" t="b">
        <f t="shared" si="0"/>
        <v>1</v>
      </c>
      <c r="F3" t="b">
        <f t="shared" si="1"/>
        <v>0</v>
      </c>
      <c r="G3" t="b">
        <f t="shared" si="2"/>
        <v>0</v>
      </c>
    </row>
    <row r="4" spans="1:7" x14ac:dyDescent="0.2">
      <c r="A4" t="s">
        <v>76</v>
      </c>
      <c r="B4" t="s">
        <v>76</v>
      </c>
      <c r="C4" t="s">
        <v>12</v>
      </c>
      <c r="D4" t="s">
        <v>21</v>
      </c>
      <c r="E4" t="b">
        <f t="shared" si="0"/>
        <v>0</v>
      </c>
      <c r="F4" t="b">
        <f t="shared" si="1"/>
        <v>0</v>
      </c>
      <c r="G4" t="b">
        <f t="shared" si="2"/>
        <v>1</v>
      </c>
    </row>
    <row r="5" spans="1:7" x14ac:dyDescent="0.2">
      <c r="A5" t="s">
        <v>39</v>
      </c>
      <c r="B5" t="s">
        <v>82</v>
      </c>
      <c r="C5" t="s">
        <v>39</v>
      </c>
      <c r="D5" t="s">
        <v>21</v>
      </c>
      <c r="E5" t="b">
        <f t="shared" si="0"/>
        <v>1</v>
      </c>
      <c r="F5" t="b">
        <f t="shared" si="1"/>
        <v>0</v>
      </c>
      <c r="G5" t="b">
        <f t="shared" si="2"/>
        <v>0</v>
      </c>
    </row>
    <row r="6" spans="1:7" x14ac:dyDescent="0.2">
      <c r="A6" t="s">
        <v>75</v>
      </c>
      <c r="B6" t="s">
        <v>73</v>
      </c>
      <c r="C6" t="s">
        <v>73</v>
      </c>
      <c r="D6" t="s">
        <v>74</v>
      </c>
      <c r="E6" t="b">
        <f t="shared" si="0"/>
        <v>0</v>
      </c>
      <c r="F6" t="b">
        <f t="shared" si="1"/>
        <v>1</v>
      </c>
      <c r="G6" t="b">
        <f t="shared" si="2"/>
        <v>0</v>
      </c>
    </row>
    <row r="7" spans="1:7" x14ac:dyDescent="0.2">
      <c r="A7" t="s">
        <v>37</v>
      </c>
      <c r="B7" t="s">
        <v>37</v>
      </c>
      <c r="C7" t="s">
        <v>15</v>
      </c>
      <c r="D7" t="s">
        <v>22</v>
      </c>
      <c r="E7" t="b">
        <f t="shared" si="0"/>
        <v>0</v>
      </c>
      <c r="F7" t="b">
        <f t="shared" si="1"/>
        <v>0</v>
      </c>
      <c r="G7" t="b">
        <f t="shared" si="2"/>
        <v>1</v>
      </c>
    </row>
    <row r="8" spans="1:7" x14ac:dyDescent="0.2">
      <c r="A8" t="s">
        <v>56</v>
      </c>
      <c r="B8" t="s">
        <v>56</v>
      </c>
      <c r="C8" t="s">
        <v>55</v>
      </c>
      <c r="D8" t="s">
        <v>22</v>
      </c>
      <c r="E8" t="b">
        <f t="shared" si="0"/>
        <v>0</v>
      </c>
      <c r="F8" t="b">
        <f t="shared" si="1"/>
        <v>0</v>
      </c>
      <c r="G8" t="b">
        <f t="shared" si="2"/>
        <v>1</v>
      </c>
    </row>
    <row r="9" spans="1:7" x14ac:dyDescent="0.2">
      <c r="A9" t="s">
        <v>17</v>
      </c>
      <c r="B9" t="s">
        <v>17</v>
      </c>
      <c r="C9" t="s">
        <v>17</v>
      </c>
      <c r="D9" t="s">
        <v>22</v>
      </c>
      <c r="E9" t="b">
        <f t="shared" si="0"/>
        <v>1</v>
      </c>
      <c r="F9" t="b">
        <f t="shared" si="1"/>
        <v>1</v>
      </c>
      <c r="G9" t="b">
        <f t="shared" si="2"/>
        <v>0</v>
      </c>
    </row>
    <row r="10" spans="1:7" x14ac:dyDescent="0.2">
      <c r="A10" t="s">
        <v>31</v>
      </c>
      <c r="B10" t="s">
        <v>31</v>
      </c>
      <c r="C10" t="s">
        <v>27</v>
      </c>
      <c r="D10" t="s">
        <v>21</v>
      </c>
      <c r="E10" t="b">
        <f t="shared" si="0"/>
        <v>0</v>
      </c>
      <c r="F10" t="b">
        <f t="shared" si="1"/>
        <v>0</v>
      </c>
      <c r="G10" t="b">
        <f t="shared" si="2"/>
        <v>1</v>
      </c>
    </row>
    <row r="11" spans="1:7" x14ac:dyDescent="0.2">
      <c r="A11" t="s">
        <v>35</v>
      </c>
      <c r="B11" t="s">
        <v>35</v>
      </c>
      <c r="C11" t="s">
        <v>44</v>
      </c>
      <c r="D11" t="s">
        <v>21</v>
      </c>
      <c r="E11" t="b">
        <f t="shared" si="0"/>
        <v>0</v>
      </c>
      <c r="F11" t="b">
        <f t="shared" si="1"/>
        <v>0</v>
      </c>
      <c r="G11" t="b">
        <f t="shared" si="2"/>
        <v>1</v>
      </c>
    </row>
    <row r="12" spans="1:7" x14ac:dyDescent="0.2">
      <c r="A12" t="s">
        <v>34</v>
      </c>
      <c r="B12" t="s">
        <v>34</v>
      </c>
      <c r="C12" t="s">
        <v>11</v>
      </c>
      <c r="D12" t="s">
        <v>21</v>
      </c>
      <c r="E12" t="b">
        <f t="shared" si="0"/>
        <v>0</v>
      </c>
      <c r="F12" t="b">
        <f t="shared" si="1"/>
        <v>0</v>
      </c>
      <c r="G12" t="b">
        <f t="shared" si="2"/>
        <v>1</v>
      </c>
    </row>
    <row r="13" spans="1:7" x14ac:dyDescent="0.2">
      <c r="A13" t="s">
        <v>41</v>
      </c>
      <c r="B13" t="s">
        <v>23</v>
      </c>
      <c r="C13" t="s">
        <v>26</v>
      </c>
      <c r="D13" t="s">
        <v>21</v>
      </c>
      <c r="E13" t="b">
        <f t="shared" si="0"/>
        <v>0</v>
      </c>
      <c r="F13" t="b">
        <f t="shared" si="1"/>
        <v>0</v>
      </c>
      <c r="G13" t="b">
        <f t="shared" si="2"/>
        <v>1</v>
      </c>
    </row>
    <row r="14" spans="1:7" x14ac:dyDescent="0.2">
      <c r="A14" t="s">
        <v>62</v>
      </c>
      <c r="B14" t="s">
        <v>62</v>
      </c>
      <c r="C14" t="s">
        <v>65</v>
      </c>
      <c r="D14" t="s">
        <v>21</v>
      </c>
      <c r="E14" t="b">
        <f t="shared" si="0"/>
        <v>0</v>
      </c>
      <c r="F14" t="b">
        <f t="shared" si="1"/>
        <v>0</v>
      </c>
      <c r="G14" t="b">
        <f t="shared" si="2"/>
        <v>1</v>
      </c>
    </row>
    <row r="15" spans="1:7" x14ac:dyDescent="0.2">
      <c r="A15" t="s">
        <v>32</v>
      </c>
      <c r="B15" t="s">
        <v>32</v>
      </c>
      <c r="C15" t="s">
        <v>3</v>
      </c>
      <c r="D15" t="s">
        <v>21</v>
      </c>
      <c r="E15" t="b">
        <f t="shared" si="0"/>
        <v>0</v>
      </c>
      <c r="F15" t="b">
        <f t="shared" si="1"/>
        <v>0</v>
      </c>
      <c r="G15" t="b">
        <f t="shared" si="2"/>
        <v>1</v>
      </c>
    </row>
    <row r="16" spans="1:7" x14ac:dyDescent="0.2">
      <c r="A16" t="s">
        <v>60</v>
      </c>
      <c r="B16" t="s">
        <v>60</v>
      </c>
      <c r="C16" t="s">
        <v>63</v>
      </c>
      <c r="D16" t="s">
        <v>22</v>
      </c>
      <c r="E16" t="b">
        <f t="shared" si="0"/>
        <v>0</v>
      </c>
      <c r="F16" t="b">
        <f t="shared" si="1"/>
        <v>0</v>
      </c>
      <c r="G16" t="b">
        <f t="shared" si="2"/>
        <v>1</v>
      </c>
    </row>
    <row r="17" spans="1:7" x14ac:dyDescent="0.2">
      <c r="A17" t="s">
        <v>64</v>
      </c>
      <c r="B17" t="s">
        <v>61</v>
      </c>
      <c r="C17" t="s">
        <v>64</v>
      </c>
      <c r="D17" t="s">
        <v>22</v>
      </c>
      <c r="E17" t="b">
        <f t="shared" ref="E17:E18" si="3">A17=C17</f>
        <v>1</v>
      </c>
      <c r="F17" t="b">
        <f t="shared" ref="F17:F18" si="4">B17=C17</f>
        <v>0</v>
      </c>
      <c r="G17" t="b">
        <f t="shared" ref="G17:G18" si="5">E17+F17=0</f>
        <v>0</v>
      </c>
    </row>
    <row r="18" spans="1:7" x14ac:dyDescent="0.2">
      <c r="A18" t="s">
        <v>78</v>
      </c>
      <c r="B18" t="s">
        <v>78</v>
      </c>
      <c r="C18" t="s">
        <v>77</v>
      </c>
      <c r="D18" t="s">
        <v>74</v>
      </c>
      <c r="E18" t="b">
        <f t="shared" si="3"/>
        <v>0</v>
      </c>
      <c r="F18" t="b">
        <f t="shared" si="4"/>
        <v>0</v>
      </c>
      <c r="G18" t="b">
        <f t="shared" si="5"/>
        <v>1</v>
      </c>
    </row>
    <row r="19" spans="1:7" x14ac:dyDescent="0.2">
      <c r="A19" t="s">
        <v>79</v>
      </c>
      <c r="B19" t="s">
        <v>80</v>
      </c>
      <c r="C19" t="s">
        <v>80</v>
      </c>
      <c r="D19" t="s">
        <v>21</v>
      </c>
      <c r="E19" t="b">
        <f t="shared" ref="E19" si="6">A19=C19</f>
        <v>0</v>
      </c>
      <c r="F19" t="b">
        <f t="shared" ref="F19" si="7">B19=C19</f>
        <v>1</v>
      </c>
      <c r="G19" t="b">
        <f t="shared" ref="G19" si="8">E19+F19=0</f>
        <v>0</v>
      </c>
    </row>
    <row r="20" spans="1:7" x14ac:dyDescent="0.2">
      <c r="A20" t="s">
        <v>83</v>
      </c>
      <c r="B20" t="s">
        <v>84</v>
      </c>
      <c r="C20" t="s">
        <v>81</v>
      </c>
      <c r="D20" t="s">
        <v>21</v>
      </c>
      <c r="E20" t="b">
        <f t="shared" ref="E20" si="9">A20=C20</f>
        <v>0</v>
      </c>
      <c r="F20" t="b">
        <f t="shared" ref="F20" si="10">B20=C20</f>
        <v>1</v>
      </c>
      <c r="G20" t="b">
        <f t="shared" ref="G20" si="11">E20+F20=0</f>
        <v>0</v>
      </c>
    </row>
    <row r="21" spans="1:7" x14ac:dyDescent="0.2">
      <c r="A21" t="s">
        <v>85</v>
      </c>
      <c r="B21" t="s">
        <v>85</v>
      </c>
      <c r="C21" t="s">
        <v>86</v>
      </c>
      <c r="D21" t="s">
        <v>21</v>
      </c>
      <c r="E21" t="b">
        <f t="shared" ref="E21" si="12">A21=C21</f>
        <v>0</v>
      </c>
      <c r="F21" t="b">
        <f t="shared" ref="F21" si="13">B21=C21</f>
        <v>0</v>
      </c>
      <c r="G21" t="b">
        <f t="shared" ref="G21" si="14">E21+F21=0</f>
        <v>1</v>
      </c>
    </row>
  </sheetData>
  <sortState xmlns:xlrd2="http://schemas.microsoft.com/office/spreadsheetml/2017/richdata2" ref="A2:G28">
    <sortCondition ref="A2:A2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7784-878B-4145-84B7-94BA14CDF092}">
  <dimension ref="A1:G34"/>
  <sheetViews>
    <sheetView workbookViewId="0">
      <selection activeCell="G34" sqref="A1:G34"/>
    </sheetView>
  </sheetViews>
  <sheetFormatPr baseColWidth="10" defaultRowHeight="15" x14ac:dyDescent="0.2"/>
  <cols>
    <col min="1" max="1" width="23.5" bestFit="1" customWidth="1"/>
    <col min="2" max="2" width="22" bestFit="1" customWidth="1"/>
    <col min="3" max="3" width="24.6640625" bestFit="1" customWidth="1"/>
    <col min="4" max="4" width="8.5" bestFit="1" customWidth="1"/>
    <col min="5" max="5" width="12.33203125" bestFit="1" customWidth="1"/>
    <col min="6" max="6" width="12.5" bestFit="1" customWidth="1"/>
    <col min="7" max="7" width="10.5" bestFit="1" customWidth="1"/>
  </cols>
  <sheetData>
    <row r="1" spans="1:7" x14ac:dyDescent="0.2">
      <c r="A1" s="1" t="s">
        <v>28</v>
      </c>
      <c r="B1" s="1" t="s">
        <v>29</v>
      </c>
      <c r="C1" s="1" t="s">
        <v>45</v>
      </c>
      <c r="D1" s="1" t="s">
        <v>20</v>
      </c>
      <c r="E1" s="1" t="s">
        <v>42</v>
      </c>
      <c r="F1" s="1" t="s">
        <v>43</v>
      </c>
      <c r="G1" s="1" t="s">
        <v>50</v>
      </c>
    </row>
    <row r="2" spans="1:7" x14ac:dyDescent="0.2">
      <c r="A2" t="s">
        <v>48</v>
      </c>
      <c r="B2" t="s">
        <v>47</v>
      </c>
      <c r="C2" t="s">
        <v>48</v>
      </c>
      <c r="D2" t="s">
        <v>49</v>
      </c>
      <c r="E2" t="b">
        <f t="shared" ref="E2:E33" si="0">A2=C2</f>
        <v>1</v>
      </c>
      <c r="F2" t="b">
        <f t="shared" ref="F2:F33" si="1">B2=C2</f>
        <v>0</v>
      </c>
      <c r="G2" t="b">
        <f t="shared" ref="G2:G33" si="2">E2+F2=0</f>
        <v>0</v>
      </c>
    </row>
    <row r="3" spans="1:7" x14ac:dyDescent="0.2">
      <c r="A3" t="s">
        <v>59</v>
      </c>
      <c r="B3" t="s">
        <v>72</v>
      </c>
      <c r="C3" t="s">
        <v>59</v>
      </c>
      <c r="D3" t="s">
        <v>21</v>
      </c>
      <c r="E3" t="b">
        <f t="shared" si="0"/>
        <v>1</v>
      </c>
      <c r="F3" t="b">
        <f t="shared" si="1"/>
        <v>0</v>
      </c>
      <c r="G3" t="b">
        <f t="shared" si="2"/>
        <v>0</v>
      </c>
    </row>
    <row r="4" spans="1:7" x14ac:dyDescent="0.2">
      <c r="A4" t="s">
        <v>34</v>
      </c>
      <c r="B4" t="s">
        <v>34</v>
      </c>
      <c r="C4" t="s">
        <v>11</v>
      </c>
      <c r="D4" t="s">
        <v>21</v>
      </c>
      <c r="E4" t="b">
        <f t="shared" si="0"/>
        <v>0</v>
      </c>
      <c r="F4" t="b">
        <f t="shared" si="1"/>
        <v>0</v>
      </c>
      <c r="G4" t="b">
        <f t="shared" si="2"/>
        <v>1</v>
      </c>
    </row>
    <row r="5" spans="1:7" x14ac:dyDescent="0.2">
      <c r="A5" t="s">
        <v>39</v>
      </c>
      <c r="B5" t="s">
        <v>40</v>
      </c>
      <c r="C5" t="s">
        <v>25</v>
      </c>
      <c r="D5" t="s">
        <v>21</v>
      </c>
      <c r="E5" t="b">
        <f t="shared" si="0"/>
        <v>0</v>
      </c>
      <c r="F5" t="b">
        <f t="shared" si="1"/>
        <v>0</v>
      </c>
      <c r="G5" t="b">
        <f t="shared" si="2"/>
        <v>1</v>
      </c>
    </row>
    <row r="6" spans="1:7" x14ac:dyDescent="0.2">
      <c r="A6" t="s">
        <v>0</v>
      </c>
      <c r="B6" t="s">
        <v>0</v>
      </c>
      <c r="C6" t="s">
        <v>12</v>
      </c>
      <c r="D6" t="s">
        <v>21</v>
      </c>
      <c r="E6" t="b">
        <f t="shared" si="0"/>
        <v>0</v>
      </c>
      <c r="F6" t="b">
        <f t="shared" si="1"/>
        <v>0</v>
      </c>
      <c r="G6" t="b">
        <f t="shared" si="2"/>
        <v>1</v>
      </c>
    </row>
    <row r="7" spans="1:7" x14ac:dyDescent="0.2">
      <c r="A7" t="s">
        <v>31</v>
      </c>
      <c r="B7" t="s">
        <v>31</v>
      </c>
      <c r="C7" t="s">
        <v>27</v>
      </c>
      <c r="D7" t="s">
        <v>21</v>
      </c>
      <c r="E7" t="b">
        <f t="shared" si="0"/>
        <v>0</v>
      </c>
      <c r="F7" t="b">
        <f t="shared" si="1"/>
        <v>0</v>
      </c>
      <c r="G7" t="b">
        <f t="shared" si="2"/>
        <v>1</v>
      </c>
    </row>
    <row r="8" spans="1:7" x14ac:dyDescent="0.2">
      <c r="A8" t="s">
        <v>32</v>
      </c>
      <c r="B8" t="s">
        <v>32</v>
      </c>
      <c r="C8" t="s">
        <v>3</v>
      </c>
      <c r="D8" t="s">
        <v>21</v>
      </c>
      <c r="E8" t="b">
        <f t="shared" si="0"/>
        <v>0</v>
      </c>
      <c r="F8" t="b">
        <f t="shared" si="1"/>
        <v>0</v>
      </c>
      <c r="G8" t="b">
        <f t="shared" si="2"/>
        <v>1</v>
      </c>
    </row>
    <row r="9" spans="1:7" x14ac:dyDescent="0.2">
      <c r="A9" t="s">
        <v>8</v>
      </c>
      <c r="C9" t="s">
        <v>7</v>
      </c>
      <c r="D9" t="s">
        <v>21</v>
      </c>
      <c r="E9" t="b">
        <f t="shared" si="0"/>
        <v>0</v>
      </c>
      <c r="F9" t="b">
        <f t="shared" si="1"/>
        <v>0</v>
      </c>
      <c r="G9" t="b">
        <f t="shared" si="2"/>
        <v>1</v>
      </c>
    </row>
    <row r="10" spans="1:7" x14ac:dyDescent="0.2">
      <c r="A10" t="s">
        <v>35</v>
      </c>
      <c r="B10" t="s">
        <v>35</v>
      </c>
      <c r="C10" t="s">
        <v>44</v>
      </c>
      <c r="D10" t="s">
        <v>21</v>
      </c>
      <c r="E10" t="b">
        <f t="shared" si="0"/>
        <v>0</v>
      </c>
      <c r="F10" t="b">
        <f t="shared" si="1"/>
        <v>0</v>
      </c>
      <c r="G10" t="b">
        <f t="shared" si="2"/>
        <v>1</v>
      </c>
    </row>
    <row r="11" spans="1:7" x14ac:dyDescent="0.2">
      <c r="A11" t="s">
        <v>1</v>
      </c>
      <c r="B11" t="s">
        <v>46</v>
      </c>
      <c r="C11" t="s">
        <v>2</v>
      </c>
      <c r="D11" t="s">
        <v>21</v>
      </c>
      <c r="E11" t="b">
        <f t="shared" si="0"/>
        <v>0</v>
      </c>
      <c r="F11" t="b">
        <f t="shared" si="1"/>
        <v>0</v>
      </c>
      <c r="G11" t="b">
        <f t="shared" si="2"/>
        <v>1</v>
      </c>
    </row>
    <row r="12" spans="1:7" x14ac:dyDescent="0.2">
      <c r="A12" t="s">
        <v>10</v>
      </c>
      <c r="B12" t="s">
        <v>10</v>
      </c>
      <c r="C12" t="s">
        <v>9</v>
      </c>
      <c r="D12" t="s">
        <v>21</v>
      </c>
      <c r="E12" t="b">
        <f t="shared" si="0"/>
        <v>0</v>
      </c>
      <c r="F12" t="b">
        <f t="shared" si="1"/>
        <v>0</v>
      </c>
      <c r="G12" t="b">
        <f t="shared" si="2"/>
        <v>1</v>
      </c>
    </row>
    <row r="13" spans="1:7" x14ac:dyDescent="0.2">
      <c r="A13" t="s">
        <v>41</v>
      </c>
      <c r="B13" t="s">
        <v>23</v>
      </c>
      <c r="C13" t="s">
        <v>26</v>
      </c>
      <c r="D13" t="s">
        <v>21</v>
      </c>
      <c r="E13" t="b">
        <f t="shared" si="0"/>
        <v>0</v>
      </c>
      <c r="F13" t="b">
        <f t="shared" si="1"/>
        <v>0</v>
      </c>
      <c r="G13" t="b">
        <f t="shared" si="2"/>
        <v>1</v>
      </c>
    </row>
    <row r="14" spans="1:7" x14ac:dyDescent="0.2">
      <c r="A14" t="s">
        <v>6</v>
      </c>
      <c r="B14" t="s">
        <v>6</v>
      </c>
      <c r="C14" t="s">
        <v>5</v>
      </c>
      <c r="D14" t="s">
        <v>21</v>
      </c>
      <c r="E14" t="b">
        <f t="shared" si="0"/>
        <v>0</v>
      </c>
      <c r="F14" t="b">
        <f t="shared" si="1"/>
        <v>0</v>
      </c>
      <c r="G14" t="b">
        <f t="shared" si="2"/>
        <v>1</v>
      </c>
    </row>
    <row r="15" spans="1:7" x14ac:dyDescent="0.2">
      <c r="A15" t="s">
        <v>62</v>
      </c>
      <c r="B15" t="s">
        <v>62</v>
      </c>
      <c r="C15" t="s">
        <v>65</v>
      </c>
      <c r="D15" t="s">
        <v>21</v>
      </c>
      <c r="E15" t="b">
        <f t="shared" si="0"/>
        <v>0</v>
      </c>
      <c r="F15" t="b">
        <f t="shared" si="1"/>
        <v>0</v>
      </c>
      <c r="G15" t="b">
        <f t="shared" si="2"/>
        <v>1</v>
      </c>
    </row>
    <row r="16" spans="1:7" x14ac:dyDescent="0.2">
      <c r="A16" t="s">
        <v>33</v>
      </c>
      <c r="B16" t="s">
        <v>4</v>
      </c>
      <c r="C16" t="s">
        <v>4</v>
      </c>
      <c r="D16" t="s">
        <v>21</v>
      </c>
      <c r="E16" t="b">
        <f t="shared" si="0"/>
        <v>0</v>
      </c>
      <c r="F16" t="b">
        <f t="shared" si="1"/>
        <v>1</v>
      </c>
      <c r="G16" t="b">
        <f t="shared" si="2"/>
        <v>0</v>
      </c>
    </row>
    <row r="17" spans="1:7" x14ac:dyDescent="0.2">
      <c r="A17" t="s">
        <v>46</v>
      </c>
      <c r="B17" t="s">
        <v>69</v>
      </c>
      <c r="C17" t="s">
        <v>69</v>
      </c>
      <c r="D17" t="s">
        <v>21</v>
      </c>
      <c r="E17" t="b">
        <f t="shared" si="0"/>
        <v>0</v>
      </c>
      <c r="F17" t="b">
        <f t="shared" si="1"/>
        <v>1</v>
      </c>
      <c r="G17" t="b">
        <f t="shared" si="2"/>
        <v>0</v>
      </c>
    </row>
    <row r="18" spans="1:7" x14ac:dyDescent="0.2">
      <c r="A18" t="s">
        <v>70</v>
      </c>
      <c r="C18" t="s">
        <v>70</v>
      </c>
      <c r="D18" t="s">
        <v>21</v>
      </c>
      <c r="E18" t="b">
        <f t="shared" si="0"/>
        <v>1</v>
      </c>
      <c r="F18" t="b">
        <f t="shared" si="1"/>
        <v>0</v>
      </c>
      <c r="G18" t="b">
        <f t="shared" si="2"/>
        <v>0</v>
      </c>
    </row>
    <row r="19" spans="1:7" x14ac:dyDescent="0.2">
      <c r="A19" t="s">
        <v>71</v>
      </c>
      <c r="C19" t="s">
        <v>71</v>
      </c>
      <c r="D19" t="s">
        <v>21</v>
      </c>
      <c r="E19" t="b">
        <f t="shared" si="0"/>
        <v>1</v>
      </c>
      <c r="F19" t="b">
        <f t="shared" si="1"/>
        <v>0</v>
      </c>
      <c r="G19" t="b">
        <f t="shared" si="2"/>
        <v>0</v>
      </c>
    </row>
    <row r="20" spans="1:7" x14ac:dyDescent="0.2">
      <c r="A20" t="s">
        <v>37</v>
      </c>
      <c r="B20" t="s">
        <v>37</v>
      </c>
      <c r="C20" t="s">
        <v>15</v>
      </c>
      <c r="D20" t="s">
        <v>22</v>
      </c>
      <c r="E20" t="b">
        <f t="shared" si="0"/>
        <v>0</v>
      </c>
      <c r="F20" t="b">
        <f t="shared" si="1"/>
        <v>0</v>
      </c>
      <c r="G20" t="b">
        <f t="shared" si="2"/>
        <v>1</v>
      </c>
    </row>
    <row r="21" spans="1:7" x14ac:dyDescent="0.2">
      <c r="A21" t="s">
        <v>36</v>
      </c>
      <c r="B21" t="s">
        <v>36</v>
      </c>
      <c r="C21" t="s">
        <v>16</v>
      </c>
      <c r="D21" t="s">
        <v>22</v>
      </c>
      <c r="E21" t="b">
        <f t="shared" si="0"/>
        <v>0</v>
      </c>
      <c r="F21" t="b">
        <f t="shared" si="1"/>
        <v>0</v>
      </c>
      <c r="G21" t="b">
        <f t="shared" si="2"/>
        <v>1</v>
      </c>
    </row>
    <row r="22" spans="1:7" x14ac:dyDescent="0.2">
      <c r="A22" t="s">
        <v>57</v>
      </c>
      <c r="B22" t="s">
        <v>57</v>
      </c>
      <c r="C22" t="s">
        <v>58</v>
      </c>
      <c r="D22" t="s">
        <v>22</v>
      </c>
      <c r="E22" t="b">
        <f t="shared" si="0"/>
        <v>0</v>
      </c>
      <c r="F22" t="b">
        <f t="shared" si="1"/>
        <v>0</v>
      </c>
      <c r="G22" t="b">
        <f t="shared" si="2"/>
        <v>1</v>
      </c>
    </row>
    <row r="23" spans="1:7" x14ac:dyDescent="0.2">
      <c r="A23" t="s">
        <v>24</v>
      </c>
      <c r="B23" t="s">
        <v>38</v>
      </c>
      <c r="C23" t="s">
        <v>24</v>
      </c>
      <c r="D23" t="s">
        <v>22</v>
      </c>
      <c r="E23" t="b">
        <f t="shared" si="0"/>
        <v>1</v>
      </c>
      <c r="F23" t="b">
        <f t="shared" si="1"/>
        <v>0</v>
      </c>
      <c r="G23" t="b">
        <f t="shared" si="2"/>
        <v>0</v>
      </c>
    </row>
    <row r="24" spans="1:7" x14ac:dyDescent="0.2">
      <c r="A24" t="s">
        <v>56</v>
      </c>
      <c r="B24" t="s">
        <v>56</v>
      </c>
      <c r="C24" t="s">
        <v>55</v>
      </c>
      <c r="D24" t="s">
        <v>22</v>
      </c>
      <c r="E24" t="b">
        <f t="shared" si="0"/>
        <v>0</v>
      </c>
      <c r="F24" t="b">
        <f t="shared" si="1"/>
        <v>0</v>
      </c>
      <c r="G24" t="b">
        <f t="shared" si="2"/>
        <v>1</v>
      </c>
    </row>
    <row r="25" spans="1:7" x14ac:dyDescent="0.2">
      <c r="A25" t="s">
        <v>17</v>
      </c>
      <c r="B25" t="s">
        <v>30</v>
      </c>
      <c r="C25" t="s">
        <v>17</v>
      </c>
      <c r="D25" t="s">
        <v>22</v>
      </c>
      <c r="E25" t="b">
        <f t="shared" si="0"/>
        <v>1</v>
      </c>
      <c r="F25" t="b">
        <f t="shared" si="1"/>
        <v>0</v>
      </c>
      <c r="G25" t="b">
        <f t="shared" si="2"/>
        <v>0</v>
      </c>
    </row>
    <row r="26" spans="1:7" x14ac:dyDescent="0.2">
      <c r="A26" t="s">
        <v>66</v>
      </c>
      <c r="B26" t="s">
        <v>66</v>
      </c>
      <c r="C26" t="s">
        <v>66</v>
      </c>
      <c r="D26" t="s">
        <v>22</v>
      </c>
      <c r="E26" t="b">
        <f t="shared" si="0"/>
        <v>1</v>
      </c>
      <c r="F26" t="b">
        <f t="shared" si="1"/>
        <v>1</v>
      </c>
      <c r="G26" t="b">
        <f t="shared" si="2"/>
        <v>0</v>
      </c>
    </row>
    <row r="27" spans="1:7" x14ac:dyDescent="0.2">
      <c r="A27" s="2" t="s">
        <v>67</v>
      </c>
      <c r="B27" s="2" t="s">
        <v>67</v>
      </c>
      <c r="C27" s="2" t="s">
        <v>68</v>
      </c>
      <c r="D27" t="s">
        <v>22</v>
      </c>
      <c r="E27" t="b">
        <f t="shared" si="0"/>
        <v>0</v>
      </c>
      <c r="F27" t="b">
        <f t="shared" si="1"/>
        <v>0</v>
      </c>
      <c r="G27" t="b">
        <f t="shared" si="2"/>
        <v>1</v>
      </c>
    </row>
    <row r="28" spans="1:7" x14ac:dyDescent="0.2">
      <c r="A28" t="s">
        <v>14</v>
      </c>
      <c r="B28" t="s">
        <v>14</v>
      </c>
      <c r="C28" t="s">
        <v>18</v>
      </c>
      <c r="D28" t="s">
        <v>22</v>
      </c>
      <c r="E28" t="b">
        <f t="shared" si="0"/>
        <v>0</v>
      </c>
      <c r="F28" t="b">
        <f t="shared" si="1"/>
        <v>0</v>
      </c>
      <c r="G28" t="b">
        <f t="shared" si="2"/>
        <v>1</v>
      </c>
    </row>
    <row r="29" spans="1:7" x14ac:dyDescent="0.2">
      <c r="A29" t="s">
        <v>51</v>
      </c>
      <c r="B29" t="s">
        <v>51</v>
      </c>
      <c r="C29" t="s">
        <v>52</v>
      </c>
      <c r="D29" t="s">
        <v>22</v>
      </c>
      <c r="E29" t="b">
        <f t="shared" si="0"/>
        <v>0</v>
      </c>
      <c r="F29" t="b">
        <f t="shared" si="1"/>
        <v>0</v>
      </c>
      <c r="G29" t="b">
        <f t="shared" si="2"/>
        <v>1</v>
      </c>
    </row>
    <row r="30" spans="1:7" x14ac:dyDescent="0.2">
      <c r="A30" t="s">
        <v>54</v>
      </c>
      <c r="B30" t="s">
        <v>54</v>
      </c>
      <c r="C30" t="s">
        <v>53</v>
      </c>
      <c r="D30" t="s">
        <v>22</v>
      </c>
      <c r="E30" t="b">
        <f t="shared" si="0"/>
        <v>0</v>
      </c>
      <c r="F30" t="b">
        <f t="shared" si="1"/>
        <v>0</v>
      </c>
      <c r="G30" t="b">
        <f t="shared" si="2"/>
        <v>1</v>
      </c>
    </row>
    <row r="31" spans="1:7" x14ac:dyDescent="0.2">
      <c r="A31" t="s">
        <v>13</v>
      </c>
      <c r="B31" t="s">
        <v>13</v>
      </c>
      <c r="C31" t="s">
        <v>19</v>
      </c>
      <c r="D31" t="s">
        <v>22</v>
      </c>
      <c r="E31" t="b">
        <f t="shared" si="0"/>
        <v>0</v>
      </c>
      <c r="F31" t="b">
        <f t="shared" si="1"/>
        <v>0</v>
      </c>
      <c r="G31" t="b">
        <f t="shared" si="2"/>
        <v>1</v>
      </c>
    </row>
    <row r="32" spans="1:7" x14ac:dyDescent="0.2">
      <c r="A32" t="s">
        <v>60</v>
      </c>
      <c r="B32" t="s">
        <v>60</v>
      </c>
      <c r="C32" t="s">
        <v>63</v>
      </c>
      <c r="D32" t="s">
        <v>22</v>
      </c>
      <c r="E32" t="b">
        <f t="shared" si="0"/>
        <v>0</v>
      </c>
      <c r="F32" t="b">
        <f t="shared" si="1"/>
        <v>0</v>
      </c>
      <c r="G32" t="b">
        <f t="shared" si="2"/>
        <v>1</v>
      </c>
    </row>
    <row r="33" spans="1:7" x14ac:dyDescent="0.2">
      <c r="A33" t="s">
        <v>61</v>
      </c>
      <c r="B33" t="s">
        <v>61</v>
      </c>
      <c r="C33" t="s">
        <v>64</v>
      </c>
      <c r="D33" t="s">
        <v>22</v>
      </c>
      <c r="E33" t="b">
        <f t="shared" si="0"/>
        <v>0</v>
      </c>
      <c r="F33" t="b">
        <f t="shared" si="1"/>
        <v>0</v>
      </c>
      <c r="G33" t="b">
        <f t="shared" si="2"/>
        <v>1</v>
      </c>
    </row>
    <row r="34" spans="1:7" x14ac:dyDescent="0.2">
      <c r="A34" s="3" t="s">
        <v>75</v>
      </c>
      <c r="B34" t="s">
        <v>73</v>
      </c>
      <c r="C34" t="s">
        <v>73</v>
      </c>
      <c r="D34" t="s">
        <v>74</v>
      </c>
      <c r="E34" t="b">
        <f t="shared" ref="E34" si="3">A34=C34</f>
        <v>0</v>
      </c>
      <c r="F34" t="b">
        <f t="shared" ref="F34" si="4">B34=C34</f>
        <v>1</v>
      </c>
      <c r="G34" t="b">
        <f t="shared" ref="G34" si="5">E34+F34=0</f>
        <v>0</v>
      </c>
    </row>
  </sheetData>
  <sortState xmlns:xlrd2="http://schemas.microsoft.com/office/spreadsheetml/2017/richdata2" ref="A2:G33">
    <sortCondition ref="D2:D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ESTEBAN WANGE</cp:lastModifiedBy>
  <dcterms:created xsi:type="dcterms:W3CDTF">2022-10-03T13:58:52Z</dcterms:created>
  <dcterms:modified xsi:type="dcterms:W3CDTF">2025-11-26T11:15:33Z</dcterms:modified>
</cp:coreProperties>
</file>