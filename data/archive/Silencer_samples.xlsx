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Info" sheetId="1" r:id="rId4"/>
    <sheet state="visible" name="all_vials_batch1" sheetId="2" r:id="rId5"/>
    <sheet state="visible" name="Siras selection" sheetId="3" r:id="rId6"/>
    <sheet state="visible" name="batch1.1" sheetId="4" r:id="rId7"/>
  </sheets>
  <definedNames/>
  <calcPr/>
  <extLst>
    <ext uri="GoogleSheetsCustomDataVersion2">
      <go:sheetsCustomData xmlns:go="http://customooxmlschemas.google.com/" r:id="rId8" roundtripDataChecksum="c2a3LSs+SeGOmKHtc5FPZg6jve/d3tiQk4qQTieL0VE="/>
    </ext>
  </extLst>
</workbook>
</file>

<file path=xl/sharedStrings.xml><?xml version="1.0" encoding="utf-8"?>
<sst xmlns="http://schemas.openxmlformats.org/spreadsheetml/2006/main" count="1428" uniqueCount="319">
  <si>
    <t>animal_ID</t>
  </si>
  <si>
    <t>species_short</t>
  </si>
  <si>
    <t>species</t>
  </si>
  <si>
    <t>subspecies</t>
  </si>
  <si>
    <t>family</t>
  </si>
  <si>
    <t>superclass</t>
  </si>
  <si>
    <t>zims_species360</t>
  </si>
  <si>
    <t>origin</t>
  </si>
  <si>
    <t>sex</t>
  </si>
  <si>
    <t>sample_id</t>
  </si>
  <si>
    <t>animal_ID2</t>
  </si>
  <si>
    <t>line2</t>
  </si>
  <si>
    <t>line3</t>
  </si>
  <si>
    <t>cnag_id</t>
  </si>
  <si>
    <t>pellet</t>
  </si>
  <si>
    <t>pellet_type</t>
  </si>
  <si>
    <t>CT_total</t>
  </si>
  <si>
    <t>n_passages</t>
  </si>
  <si>
    <t>max_passage</t>
  </si>
  <si>
    <t>n_samples</t>
  </si>
  <si>
    <t>reps</t>
  </si>
  <si>
    <t>DNA_ex_wgs</t>
  </si>
  <si>
    <t>RNA_ex</t>
  </si>
  <si>
    <t>DNA_me</t>
  </si>
  <si>
    <t>ATAC</t>
  </si>
  <si>
    <t>ChIP</t>
  </si>
  <si>
    <t>collection_batch</t>
  </si>
  <si>
    <t>Medium</t>
  </si>
  <si>
    <t>Additives</t>
  </si>
  <si>
    <t>Temp</t>
  </si>
  <si>
    <t>Coating</t>
  </si>
  <si>
    <t>Tissue</t>
  </si>
  <si>
    <t>A274</t>
  </si>
  <si>
    <t>Pap_Cyn</t>
  </si>
  <si>
    <t>Papio cynocephalus</t>
  </si>
  <si>
    <t>NA</t>
  </si>
  <si>
    <t>Cercopithecidae</t>
  </si>
  <si>
    <t>Mammalia</t>
  </si>
  <si>
    <t>NO ZIMS (F/HYBRDID?)</t>
  </si>
  <si>
    <t>Pap_Cyn_1</t>
  </si>
  <si>
    <t>AY5183</t>
  </si>
  <si>
    <t>techrep1</t>
  </si>
  <si>
    <t>AlphaMEM complete</t>
  </si>
  <si>
    <t>Skin</t>
  </si>
  <si>
    <t>A286</t>
  </si>
  <si>
    <t>Ory_Cun</t>
  </si>
  <si>
    <t>Oryctolagus cuniculus</t>
  </si>
  <si>
    <t>ibicea</t>
  </si>
  <si>
    <t>Leporidae</t>
  </si>
  <si>
    <t>Ory_Cun_2</t>
  </si>
  <si>
    <t>A301</t>
  </si>
  <si>
    <t>Hys_Cri</t>
  </si>
  <si>
    <t>Hystrix cristata</t>
  </si>
  <si>
    <t>Hystricidae</t>
  </si>
  <si>
    <t>MIG12-29239594</t>
  </si>
  <si>
    <t>CAPTIVE</t>
  </si>
  <si>
    <t>F</t>
  </si>
  <si>
    <t>Hys_Cri_1</t>
  </si>
  <si>
    <t>biorep</t>
  </si>
  <si>
    <t>A308</t>
  </si>
  <si>
    <t>Equ_Cab</t>
  </si>
  <si>
    <t>Equus caballus</t>
  </si>
  <si>
    <t>przewalskii</t>
  </si>
  <si>
    <t>Equidae</t>
  </si>
  <si>
    <t>MQH17-01033/JEREZ / CP13</t>
  </si>
  <si>
    <t>Equ_Cab_1</t>
  </si>
  <si>
    <t>DNA</t>
  </si>
  <si>
    <t>A322</t>
  </si>
  <si>
    <t>Pan_Tro</t>
  </si>
  <si>
    <t>Pan troglodytes</t>
  </si>
  <si>
    <t>troglodytes</t>
  </si>
  <si>
    <t>Hominidae</t>
  </si>
  <si>
    <t>MIG12-30088895</t>
  </si>
  <si>
    <t>WILD</t>
  </si>
  <si>
    <t>M</t>
  </si>
  <si>
    <t>Pan_Tro_8</t>
  </si>
  <si>
    <t>RNA</t>
  </si>
  <si>
    <t>A342</t>
  </si>
  <si>
    <t>Myr_Tri</t>
  </si>
  <si>
    <t>Myrmecophaga tridactyla</t>
  </si>
  <si>
    <t>Myrmecophagidae</t>
  </si>
  <si>
    <t>-</t>
  </si>
  <si>
    <t>Myr_Tri_1</t>
  </si>
  <si>
    <t>A391</t>
  </si>
  <si>
    <t>Hyd_Hyd</t>
  </si>
  <si>
    <t>Hydrochoerus hydrochaeris</t>
  </si>
  <si>
    <t>Caviidae</t>
  </si>
  <si>
    <t>DKL20-06414/BARCELONA / 13876</t>
  </si>
  <si>
    <t>Hyd_Hyd_2</t>
  </si>
  <si>
    <t>A422</t>
  </si>
  <si>
    <t>Mus_Lut</t>
  </si>
  <si>
    <t>Mustela lutreola</t>
  </si>
  <si>
    <t>novikovi</t>
  </si>
  <si>
    <t>Mustelidae</t>
  </si>
  <si>
    <t>THV16-02170/MADRID Z / V11</t>
  </si>
  <si>
    <t>Mus_Lut_1</t>
  </si>
  <si>
    <t>Ear</t>
  </si>
  <si>
    <t>A423</t>
  </si>
  <si>
    <t>Pha_Afr</t>
  </si>
  <si>
    <t>Phacochoerus africanus</t>
  </si>
  <si>
    <t>Suidae</t>
  </si>
  <si>
    <t>26179436/BARCELONA / 10958</t>
  </si>
  <si>
    <t>Pha_Afr_4</t>
  </si>
  <si>
    <t>A424</t>
  </si>
  <si>
    <t>Bos_Gru</t>
  </si>
  <si>
    <t>Bos grunniens</t>
  </si>
  <si>
    <t>Bovidae</t>
  </si>
  <si>
    <t>27917608/MADRID Z / Y12</t>
  </si>
  <si>
    <t>Bos_Gru_1</t>
  </si>
  <si>
    <t>A439</t>
  </si>
  <si>
    <t>Pan_Tig</t>
  </si>
  <si>
    <t>Panthera tigris</t>
  </si>
  <si>
    <t>Felidae</t>
  </si>
  <si>
    <t>MIG12-29901177/ MADRID Z / TBL8</t>
  </si>
  <si>
    <t>Pan_Tig_1</t>
  </si>
  <si>
    <t>A446</t>
  </si>
  <si>
    <t>Mun_Ree</t>
  </si>
  <si>
    <t>Muntiacus reevesi</t>
  </si>
  <si>
    <t>Cervidae</t>
  </si>
  <si>
    <t>WKP13-00240/MADRID Z / MU9</t>
  </si>
  <si>
    <t>Mun_Ree_1</t>
  </si>
  <si>
    <t>A13</t>
  </si>
  <si>
    <t>Pan_Leo</t>
  </si>
  <si>
    <t>Panthera leo</t>
  </si>
  <si>
    <t>26384182/BARCELONA / 8891</t>
  </si>
  <si>
    <t>Pan_Leo_4</t>
  </si>
  <si>
    <t>DMEM complete</t>
  </si>
  <si>
    <t>A14</t>
  </si>
  <si>
    <t>QGH16-04155/12780</t>
  </si>
  <si>
    <t>Pan_Leo_1</t>
  </si>
  <si>
    <t>A15</t>
  </si>
  <si>
    <t>Equ_Qua</t>
  </si>
  <si>
    <t>Equus quagga</t>
  </si>
  <si>
    <t>Equ_Qua_2</t>
  </si>
  <si>
    <t>A260</t>
  </si>
  <si>
    <t>QGH16-04272</t>
  </si>
  <si>
    <t>Equ_Qua_1</t>
  </si>
  <si>
    <t>A345</t>
  </si>
  <si>
    <t>Zal_Cal</t>
  </si>
  <si>
    <t>Zalophus californianus</t>
  </si>
  <si>
    <t>Otariidae</t>
  </si>
  <si>
    <t>QGH12-00115</t>
  </si>
  <si>
    <t>Zal_Cal_1</t>
  </si>
  <si>
    <t>DMEM high glucose</t>
  </si>
  <si>
    <t>1% S.Piruv.,1%NEAA</t>
  </si>
  <si>
    <t>A37</t>
  </si>
  <si>
    <t>Hex_Lib</t>
  </si>
  <si>
    <t>Hexaprotodon liberiensis</t>
  </si>
  <si>
    <t>Hippopotamidae</t>
  </si>
  <si>
    <t>Hex_Lib_1</t>
  </si>
  <si>
    <t>A453</t>
  </si>
  <si>
    <t>17968565/BARCELONA / 6798</t>
  </si>
  <si>
    <t>Hys_Cri_2</t>
  </si>
  <si>
    <t>A460</t>
  </si>
  <si>
    <t>Dol_Pat</t>
  </si>
  <si>
    <t>Dolichotis patagonum</t>
  </si>
  <si>
    <t>Dol_Pat_3</t>
  </si>
  <si>
    <t>A461</t>
  </si>
  <si>
    <t>Pon_Pyg</t>
  </si>
  <si>
    <t>Pongo pygmaeus</t>
  </si>
  <si>
    <t>QGH22-06066/BARCELONA / 14107</t>
  </si>
  <si>
    <t>Pon_Pyg_3</t>
  </si>
  <si>
    <t>A462</t>
  </si>
  <si>
    <t>QRD10-00370/MADRID Z / TBL6</t>
  </si>
  <si>
    <t>Pan_Tig_2</t>
  </si>
  <si>
    <t>A469</t>
  </si>
  <si>
    <t>Pro_Cap</t>
  </si>
  <si>
    <t>Procavia capensis</t>
  </si>
  <si>
    <t>Procaviidae</t>
  </si>
  <si>
    <t>Pro_Cap_2</t>
  </si>
  <si>
    <t>A65</t>
  </si>
  <si>
    <t>Pan_Leo_2</t>
  </si>
  <si>
    <t>A238</t>
  </si>
  <si>
    <t>A70</t>
  </si>
  <si>
    <t>23574609/JEREZ / MAR038</t>
  </si>
  <si>
    <t>Dol_Pat_2</t>
  </si>
  <si>
    <t>A81</t>
  </si>
  <si>
    <t>Cal_Geo</t>
  </si>
  <si>
    <t>Callithrix geoffroyi</t>
  </si>
  <si>
    <t>Callitrichidae</t>
  </si>
  <si>
    <t>TGD16-00658/ JEREZ TG5</t>
  </si>
  <si>
    <t>Cal_Geo_1</t>
  </si>
  <si>
    <t>AX8913</t>
  </si>
  <si>
    <t>A11</t>
  </si>
  <si>
    <t>Pan_Tro_9</t>
  </si>
  <si>
    <t>L-AD11</t>
  </si>
  <si>
    <t>A157</t>
  </si>
  <si>
    <t>Antoine Blancher (Chris Tyler-Smith)</t>
  </si>
  <si>
    <t>Pon_Pyg_2</t>
  </si>
  <si>
    <t>AX8918/ORGONE_07</t>
  </si>
  <si>
    <t>A278</t>
  </si>
  <si>
    <t>Gor_Gor</t>
  </si>
  <si>
    <t>Gorilla gorilla</t>
  </si>
  <si>
    <t>QGH15-02323</t>
  </si>
  <si>
    <t>Gor_Gor_1</t>
  </si>
  <si>
    <t>AX8909</t>
  </si>
  <si>
    <t>0.1% Gelatin</t>
  </si>
  <si>
    <t>A353</t>
  </si>
  <si>
    <t>CGK10-00254/BIOPARCVA / V11164</t>
  </si>
  <si>
    <t>Pro_Cap_1</t>
  </si>
  <si>
    <t>A357</t>
  </si>
  <si>
    <t>Lox_Afr</t>
  </si>
  <si>
    <t>Loxodonta africana</t>
  </si>
  <si>
    <t>Elephantidae</t>
  </si>
  <si>
    <t>Lox_Afr_1</t>
  </si>
  <si>
    <t>A8</t>
  </si>
  <si>
    <t>Lut_Lut</t>
  </si>
  <si>
    <t>Lutra lutra</t>
  </si>
  <si>
    <t>Lut_Lut_1</t>
  </si>
  <si>
    <t>row</t>
  </si>
  <si>
    <t>column</t>
  </si>
  <si>
    <t>cryotube label</t>
  </si>
  <si>
    <t>box</t>
  </si>
  <si>
    <t>type</t>
  </si>
  <si>
    <t>passage</t>
  </si>
  <si>
    <t>type2</t>
  </si>
  <si>
    <t>info</t>
  </si>
  <si>
    <t>CRYOZOO.PASSAGE</t>
  </si>
  <si>
    <t>NEED STOCK</t>
  </si>
  <si>
    <t>BATCH</t>
  </si>
  <si>
    <t>Thawed</t>
  </si>
  <si>
    <t>Comment</t>
  </si>
  <si>
    <t>CRYOZOO PASSAGE</t>
  </si>
  <si>
    <t>A274 P2</t>
  </si>
  <si>
    <t>RED.BOX.2.N2.to.go</t>
  </si>
  <si>
    <t>N2</t>
  </si>
  <si>
    <t>Fibroblast</t>
  </si>
  <si>
    <t xml:space="preserve"> </t>
  </si>
  <si>
    <t>P2</t>
  </si>
  <si>
    <t>BOX5_N2_RACK2</t>
  </si>
  <si>
    <t>P1</t>
  </si>
  <si>
    <t>A286 P1</t>
  </si>
  <si>
    <t>YES</t>
  </si>
  <si>
    <t>P4</t>
  </si>
  <si>
    <t>A301 P1</t>
  </si>
  <si>
    <t>A301 P2</t>
  </si>
  <si>
    <t>RED.BOX.3.N2.to.go</t>
  </si>
  <si>
    <t>A308 P2</t>
  </si>
  <si>
    <t>P0</t>
  </si>
  <si>
    <t>BOX6_N2_RACK2</t>
  </si>
  <si>
    <t>A322 P4</t>
  </si>
  <si>
    <t>Fibro..80.BOX.13</t>
  </si>
  <si>
    <t>A342 P1</t>
  </si>
  <si>
    <t>BOX3_N2_RACK2</t>
  </si>
  <si>
    <t>A391 P1</t>
  </si>
  <si>
    <t>BOX11_N2_RACK2</t>
  </si>
  <si>
    <t>A422 P1</t>
  </si>
  <si>
    <t>P3</t>
  </si>
  <si>
    <t>A423 P0</t>
  </si>
  <si>
    <t>A424 P0</t>
  </si>
  <si>
    <t>A439 P1</t>
  </si>
  <si>
    <t>BOX12_N2_RACK2</t>
  </si>
  <si>
    <t>A446 P1</t>
  </si>
  <si>
    <t>LEON RUN RUN  A13 P2</t>
  </si>
  <si>
    <t>BOX9._N2_RACK2</t>
  </si>
  <si>
    <t xml:space="preserve">LEON RUN RUN   </t>
  </si>
  <si>
    <t>LION RUN RUN A13 P2</t>
  </si>
  <si>
    <t xml:space="preserve">LION RUN RUN  </t>
  </si>
  <si>
    <t>LEON MACHO P0 A14</t>
  </si>
  <si>
    <t>BOX8_N2_RACK2</t>
  </si>
  <si>
    <t xml:space="preserve">LEON MACHO  </t>
  </si>
  <si>
    <t>?</t>
  </si>
  <si>
    <t>A14 P3</t>
  </si>
  <si>
    <t>Cell.Lines.Bellaterra.II.N2</t>
  </si>
  <si>
    <t>Bellaterra ?</t>
  </si>
  <si>
    <t>A15 p4</t>
  </si>
  <si>
    <t>BOX7_N2_RACK2</t>
  </si>
  <si>
    <t>A260 P2</t>
  </si>
  <si>
    <t>A345 P0</t>
  </si>
  <si>
    <t>A345 P1</t>
  </si>
  <si>
    <t>A37 p2 28/9/20</t>
  </si>
  <si>
    <t>BOX10_N2_RACK2</t>
  </si>
  <si>
    <t xml:space="preserve">  28/9/20</t>
  </si>
  <si>
    <t>A37p2</t>
  </si>
  <si>
    <t>A453 P1</t>
  </si>
  <si>
    <t>A460 P0</t>
  </si>
  <si>
    <t>A461 P1</t>
  </si>
  <si>
    <t>A462 P1</t>
  </si>
  <si>
    <t>A469 P1</t>
  </si>
  <si>
    <t>A70p2</t>
  </si>
  <si>
    <t>A81 P4</t>
  </si>
  <si>
    <t>A11 P3</t>
  </si>
  <si>
    <t>A157 FIBROS</t>
  </si>
  <si>
    <t>BOX2_N2_RACK2</t>
  </si>
  <si>
    <t xml:space="preserve"> FIBROS</t>
  </si>
  <si>
    <t>BOX1_N2_RACK2</t>
  </si>
  <si>
    <t>other</t>
  </si>
  <si>
    <t>P-1</t>
  </si>
  <si>
    <t>A157 0rang P?</t>
  </si>
  <si>
    <t xml:space="preserve"> 0rang P?</t>
  </si>
  <si>
    <t>A278 P2 SKIN</t>
  </si>
  <si>
    <t xml:space="preserve">  SKIN</t>
  </si>
  <si>
    <t>A353 P1</t>
  </si>
  <si>
    <t>A357 P1</t>
  </si>
  <si>
    <t>A8 LUTRA P2</t>
  </si>
  <si>
    <t xml:space="preserve"> LUTRA </t>
  </si>
  <si>
    <t>cell_number</t>
  </si>
  <si>
    <t>attachment</t>
  </si>
  <si>
    <t>outcome</t>
  </si>
  <si>
    <t>Trypsin (min)</t>
  </si>
  <si>
    <t>Cell number harvesting (Mio)</t>
  </si>
  <si>
    <t>viability harvesting (%)</t>
  </si>
  <si>
    <t>harvesting date</t>
  </si>
  <si>
    <t>high</t>
  </si>
  <si>
    <t>medium</t>
  </si>
  <si>
    <t>good growth</t>
  </si>
  <si>
    <t>T</t>
  </si>
  <si>
    <t>good</t>
  </si>
  <si>
    <t>0.293;0.319;0640</t>
  </si>
  <si>
    <t>88;84;</t>
  </si>
  <si>
    <t>no</t>
  </si>
  <si>
    <t>no growth</t>
  </si>
  <si>
    <t>slow growth</t>
  </si>
  <si>
    <t>very low</t>
  </si>
  <si>
    <t>no attachment</t>
  </si>
  <si>
    <t>Na</t>
  </si>
  <si>
    <t>low</t>
  </si>
  <si>
    <t>0.118;0.322</t>
  </si>
  <si>
    <t>contaminated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</si>
</sst>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9C5700"/>
      <name val="Calibri"/>
    </font>
    <font>
      <sz val="11.0"/>
      <color rgb="FF9C000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11" xfId="0" applyFont="1" applyNumberFormat="1"/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/>
    </xf>
    <xf borderId="1" fillId="3" fontId="3" numFmtId="0" xfId="0" applyBorder="1" applyFont="1"/>
    <xf borderId="1" fillId="4" fontId="4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4" xfId="0" applyFont="1" applyNumberFormat="1"/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24.57"/>
    <col customWidth="1" min="4" max="4" width="8.71"/>
    <col customWidth="1" min="5" max="5" width="16.86"/>
    <col customWidth="1" min="6" max="6" width="10.29"/>
    <col customWidth="1" min="7" max="9" width="8.71"/>
    <col customWidth="1" min="10" max="10" width="10.86"/>
    <col customWidth="1" min="11" max="26" width="8.71"/>
    <col customWidth="1" min="27" max="27" width="15.0"/>
    <col customWidth="1" min="28" max="28" width="18.86"/>
    <col customWidth="1" min="29" max="29" width="18.29"/>
    <col customWidth="1" min="30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35</v>
      </c>
      <c r="I2" s="1" t="s">
        <v>35</v>
      </c>
      <c r="J2" s="1" t="s">
        <v>39</v>
      </c>
      <c r="K2" s="1" t="s">
        <v>35</v>
      </c>
      <c r="L2" s="1" t="s">
        <v>35</v>
      </c>
      <c r="M2" s="1" t="s">
        <v>35</v>
      </c>
      <c r="N2" s="1" t="s">
        <v>40</v>
      </c>
      <c r="O2" s="1">
        <v>0.0</v>
      </c>
      <c r="P2" s="1" t="s">
        <v>35</v>
      </c>
      <c r="Q2" s="1">
        <v>3.0</v>
      </c>
      <c r="R2" s="1">
        <v>2.0</v>
      </c>
      <c r="S2" s="1">
        <v>2.0</v>
      </c>
      <c r="T2" s="1">
        <v>1.0</v>
      </c>
      <c r="U2" s="1" t="s">
        <v>41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>
        <v>1.0</v>
      </c>
      <c r="AB2" s="1" t="s">
        <v>42</v>
      </c>
      <c r="AD2" s="1">
        <v>37.0</v>
      </c>
      <c r="AF2" s="1" t="s">
        <v>43</v>
      </c>
    </row>
    <row r="3" ht="14.25" customHeight="1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37</v>
      </c>
      <c r="G3" s="1" t="s">
        <v>35</v>
      </c>
      <c r="H3" s="1" t="s">
        <v>35</v>
      </c>
      <c r="I3" s="1" t="s">
        <v>35</v>
      </c>
      <c r="J3" s="1" t="s">
        <v>49</v>
      </c>
      <c r="K3" s="1" t="s">
        <v>35</v>
      </c>
      <c r="L3" s="1" t="s">
        <v>35</v>
      </c>
      <c r="M3" s="1" t="s">
        <v>35</v>
      </c>
      <c r="N3" s="1" t="s">
        <v>35</v>
      </c>
      <c r="O3" s="1">
        <v>0.0</v>
      </c>
      <c r="P3" s="1" t="s">
        <v>35</v>
      </c>
      <c r="Q3" s="1">
        <v>3.0</v>
      </c>
      <c r="R3" s="1">
        <v>2.0</v>
      </c>
      <c r="S3" s="1">
        <v>1.0</v>
      </c>
      <c r="T3" s="1">
        <v>1.0</v>
      </c>
      <c r="U3" s="1" t="s">
        <v>41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>
        <v>1.0</v>
      </c>
      <c r="AB3" s="1" t="s">
        <v>42</v>
      </c>
      <c r="AD3" s="1">
        <v>37.0</v>
      </c>
      <c r="AF3" s="1" t="s">
        <v>43</v>
      </c>
    </row>
    <row r="4" ht="14.25" customHeight="1">
      <c r="A4" s="1" t="s">
        <v>50</v>
      </c>
      <c r="B4" s="1" t="s">
        <v>51</v>
      </c>
      <c r="C4" s="1" t="s">
        <v>52</v>
      </c>
      <c r="D4" s="1" t="s">
        <v>35</v>
      </c>
      <c r="E4" s="1" t="s">
        <v>53</v>
      </c>
      <c r="F4" s="1" t="s">
        <v>37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35</v>
      </c>
      <c r="L4" s="1" t="s">
        <v>35</v>
      </c>
      <c r="M4" s="1" t="s">
        <v>35</v>
      </c>
      <c r="N4" s="1" t="s">
        <v>35</v>
      </c>
      <c r="O4" s="1">
        <v>0.0</v>
      </c>
      <c r="P4" s="1" t="s">
        <v>35</v>
      </c>
      <c r="Q4" s="1">
        <v>3.0</v>
      </c>
      <c r="R4" s="1">
        <v>2.0</v>
      </c>
      <c r="S4" s="1">
        <v>1.0</v>
      </c>
      <c r="T4" s="1">
        <v>2.0</v>
      </c>
      <c r="U4" s="1" t="s">
        <v>58</v>
      </c>
      <c r="V4" s="1" t="b">
        <v>1</v>
      </c>
      <c r="W4" s="1" t="b">
        <v>0</v>
      </c>
      <c r="X4" s="1" t="b">
        <v>0</v>
      </c>
      <c r="Y4" s="1" t="b">
        <v>0</v>
      </c>
      <c r="Z4" s="1" t="b">
        <v>0</v>
      </c>
      <c r="AA4" s="1">
        <v>1.0</v>
      </c>
      <c r="AB4" s="1" t="s">
        <v>42</v>
      </c>
      <c r="AD4" s="1">
        <v>37.0</v>
      </c>
      <c r="AF4" s="1" t="s">
        <v>43</v>
      </c>
    </row>
    <row r="5" ht="14.25" customHeight="1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37</v>
      </c>
      <c r="G5" s="1" t="s">
        <v>64</v>
      </c>
      <c r="H5" s="1" t="s">
        <v>55</v>
      </c>
      <c r="I5" s="1" t="s">
        <v>56</v>
      </c>
      <c r="J5" s="1" t="s">
        <v>65</v>
      </c>
      <c r="K5" s="1" t="s">
        <v>35</v>
      </c>
      <c r="L5" s="1" t="s">
        <v>35</v>
      </c>
      <c r="M5" s="1" t="s">
        <v>35</v>
      </c>
      <c r="N5" s="1" t="s">
        <v>35</v>
      </c>
      <c r="O5" s="1">
        <v>1.0</v>
      </c>
      <c r="P5" s="1" t="s">
        <v>66</v>
      </c>
      <c r="Q5" s="1">
        <v>4.0</v>
      </c>
      <c r="R5" s="1">
        <v>3.0</v>
      </c>
      <c r="S5" s="1">
        <v>5.0</v>
      </c>
      <c r="T5" s="1">
        <v>1.0</v>
      </c>
      <c r="U5" s="1" t="s">
        <v>41</v>
      </c>
      <c r="V5" s="1" t="b">
        <v>1</v>
      </c>
      <c r="W5" s="1" t="b">
        <v>1</v>
      </c>
      <c r="X5" s="1" t="b">
        <v>0</v>
      </c>
      <c r="Y5" s="1" t="b">
        <v>0</v>
      </c>
      <c r="Z5" s="1" t="b">
        <v>0</v>
      </c>
      <c r="AA5" s="1">
        <v>1.0</v>
      </c>
      <c r="AB5" s="1" t="s">
        <v>42</v>
      </c>
      <c r="AD5" s="1">
        <v>37.0</v>
      </c>
      <c r="AF5" s="1" t="s">
        <v>43</v>
      </c>
    </row>
    <row r="6" ht="14.25" customHeight="1">
      <c r="A6" s="1" t="s">
        <v>67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37</v>
      </c>
      <c r="G6" s="1" t="s">
        <v>72</v>
      </c>
      <c r="H6" s="1" t="s">
        <v>73</v>
      </c>
      <c r="I6" s="1" t="s">
        <v>74</v>
      </c>
      <c r="J6" s="1" t="s">
        <v>75</v>
      </c>
      <c r="K6" s="1" t="s">
        <v>35</v>
      </c>
      <c r="L6" s="1" t="s">
        <v>35</v>
      </c>
      <c r="M6" s="1" t="s">
        <v>35</v>
      </c>
      <c r="N6" s="1" t="s">
        <v>35</v>
      </c>
      <c r="O6" s="1">
        <v>1.0</v>
      </c>
      <c r="P6" s="1" t="s">
        <v>76</v>
      </c>
      <c r="Q6" s="1">
        <v>3.0</v>
      </c>
      <c r="R6" s="1">
        <v>3.0</v>
      </c>
      <c r="S6" s="1">
        <v>5.0</v>
      </c>
      <c r="T6" s="1">
        <v>9.0</v>
      </c>
      <c r="U6" s="1" t="s">
        <v>58</v>
      </c>
      <c r="V6" s="1" t="b">
        <v>0</v>
      </c>
      <c r="W6" s="1" t="b">
        <v>1</v>
      </c>
      <c r="X6" s="1" t="b">
        <v>0</v>
      </c>
      <c r="Y6" s="1" t="b">
        <v>0</v>
      </c>
      <c r="Z6" s="1" t="b">
        <v>0</v>
      </c>
      <c r="AA6" s="1">
        <v>1.0</v>
      </c>
      <c r="AB6" s="1" t="s">
        <v>42</v>
      </c>
      <c r="AD6" s="1">
        <v>37.0</v>
      </c>
      <c r="AF6" s="1" t="s">
        <v>43</v>
      </c>
    </row>
    <row r="7" ht="14.25" customHeight="1">
      <c r="A7" s="1" t="s">
        <v>77</v>
      </c>
      <c r="B7" s="1" t="s">
        <v>78</v>
      </c>
      <c r="C7" s="1" t="s">
        <v>79</v>
      </c>
      <c r="D7" s="1" t="s">
        <v>35</v>
      </c>
      <c r="E7" s="1" t="s">
        <v>80</v>
      </c>
      <c r="F7" s="1" t="s">
        <v>37</v>
      </c>
      <c r="G7" s="1" t="s">
        <v>81</v>
      </c>
      <c r="H7" s="1" t="s">
        <v>35</v>
      </c>
      <c r="I7" s="1" t="s">
        <v>35</v>
      </c>
      <c r="J7" s="1" t="s">
        <v>82</v>
      </c>
      <c r="K7" s="1" t="s">
        <v>35</v>
      </c>
      <c r="L7" s="1" t="s">
        <v>35</v>
      </c>
      <c r="M7" s="1" t="s">
        <v>35</v>
      </c>
      <c r="N7" s="1" t="s">
        <v>35</v>
      </c>
      <c r="O7" s="1">
        <v>1.0</v>
      </c>
      <c r="P7" s="1" t="s">
        <v>66</v>
      </c>
      <c r="Q7" s="1">
        <v>2.0</v>
      </c>
      <c r="R7" s="1">
        <v>2.0</v>
      </c>
      <c r="S7" s="1">
        <v>1.0</v>
      </c>
      <c r="T7" s="1">
        <v>1.0</v>
      </c>
      <c r="U7" s="1" t="s">
        <v>41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>
        <v>1.0</v>
      </c>
      <c r="AB7" s="1" t="s">
        <v>42</v>
      </c>
      <c r="AD7" s="1">
        <v>37.0</v>
      </c>
      <c r="AF7" s="1" t="s">
        <v>43</v>
      </c>
    </row>
    <row r="8" ht="14.25" customHeight="1">
      <c r="A8" s="1" t="s">
        <v>83</v>
      </c>
      <c r="B8" s="1" t="s">
        <v>84</v>
      </c>
      <c r="C8" s="1" t="s">
        <v>85</v>
      </c>
      <c r="D8" s="1" t="s">
        <v>35</v>
      </c>
      <c r="E8" s="1" t="s">
        <v>86</v>
      </c>
      <c r="F8" s="1" t="s">
        <v>37</v>
      </c>
      <c r="G8" s="1" t="s">
        <v>87</v>
      </c>
      <c r="H8" s="1" t="s">
        <v>55</v>
      </c>
      <c r="I8" s="1" t="s">
        <v>74</v>
      </c>
      <c r="J8" s="1" t="s">
        <v>88</v>
      </c>
      <c r="K8" s="1" t="s">
        <v>35</v>
      </c>
      <c r="L8" s="1" t="s">
        <v>35</v>
      </c>
      <c r="M8" s="1" t="s">
        <v>35</v>
      </c>
      <c r="N8" s="1" t="s">
        <v>35</v>
      </c>
      <c r="O8" s="1">
        <v>0.0</v>
      </c>
      <c r="P8" s="1" t="s">
        <v>35</v>
      </c>
      <c r="Q8" s="1">
        <v>4.0</v>
      </c>
      <c r="R8" s="1">
        <v>2.0</v>
      </c>
      <c r="S8" s="1">
        <v>1.0</v>
      </c>
      <c r="T8" s="1">
        <v>1.0</v>
      </c>
      <c r="U8" s="1" t="s">
        <v>41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>
        <v>1.0</v>
      </c>
      <c r="AB8" s="1" t="s">
        <v>42</v>
      </c>
      <c r="AD8" s="1">
        <v>37.0</v>
      </c>
      <c r="AF8" s="1" t="s">
        <v>43</v>
      </c>
    </row>
    <row r="9" ht="14.25" customHeight="1">
      <c r="A9" s="1" t="s">
        <v>89</v>
      </c>
      <c r="B9" s="1" t="s">
        <v>90</v>
      </c>
      <c r="C9" s="1" t="s">
        <v>91</v>
      </c>
      <c r="D9" s="1" t="s">
        <v>92</v>
      </c>
      <c r="E9" s="1" t="s">
        <v>93</v>
      </c>
      <c r="F9" s="1" t="s">
        <v>37</v>
      </c>
      <c r="G9" s="1" t="s">
        <v>94</v>
      </c>
      <c r="H9" s="1" t="s">
        <v>55</v>
      </c>
      <c r="I9" s="1" t="s">
        <v>56</v>
      </c>
      <c r="J9" s="1" t="s">
        <v>95</v>
      </c>
      <c r="K9" s="1" t="s">
        <v>35</v>
      </c>
      <c r="L9" s="1" t="s">
        <v>35</v>
      </c>
      <c r="M9" s="1" t="s">
        <v>35</v>
      </c>
      <c r="N9" s="1" t="s">
        <v>35</v>
      </c>
      <c r="O9" s="1">
        <v>1.0</v>
      </c>
      <c r="P9" s="1" t="s">
        <v>66</v>
      </c>
      <c r="Q9" s="1">
        <v>2.0</v>
      </c>
      <c r="R9" s="1">
        <v>2.0</v>
      </c>
      <c r="S9" s="1">
        <v>1.0</v>
      </c>
      <c r="T9" s="1">
        <v>1.0</v>
      </c>
      <c r="U9" s="1" t="s">
        <v>41</v>
      </c>
      <c r="V9" s="1" t="b">
        <v>1</v>
      </c>
      <c r="W9" s="1" t="b">
        <v>0</v>
      </c>
      <c r="X9" s="1" t="b">
        <v>0</v>
      </c>
      <c r="Y9" s="1" t="b">
        <v>0</v>
      </c>
      <c r="Z9" s="1" t="b">
        <v>0</v>
      </c>
      <c r="AA9" s="1">
        <v>1.0</v>
      </c>
      <c r="AB9" s="1" t="s">
        <v>42</v>
      </c>
      <c r="AD9" s="1">
        <v>37.0</v>
      </c>
      <c r="AF9" s="1" t="s">
        <v>96</v>
      </c>
    </row>
    <row r="10" ht="14.25" customHeight="1">
      <c r="A10" s="1" t="s">
        <v>97</v>
      </c>
      <c r="B10" s="1" t="s">
        <v>98</v>
      </c>
      <c r="C10" s="1" t="s">
        <v>99</v>
      </c>
      <c r="D10" s="1" t="s">
        <v>35</v>
      </c>
      <c r="E10" s="1" t="s">
        <v>100</v>
      </c>
      <c r="F10" s="1" t="s">
        <v>37</v>
      </c>
      <c r="G10" s="1" t="s">
        <v>101</v>
      </c>
      <c r="H10" s="1" t="s">
        <v>55</v>
      </c>
      <c r="I10" s="1" t="s">
        <v>56</v>
      </c>
      <c r="J10" s="1" t="s">
        <v>102</v>
      </c>
      <c r="K10" s="1" t="s">
        <v>35</v>
      </c>
      <c r="L10" s="1" t="s">
        <v>35</v>
      </c>
      <c r="M10" s="1" t="s">
        <v>35</v>
      </c>
      <c r="N10" s="1" t="s">
        <v>35</v>
      </c>
      <c r="O10" s="1">
        <v>1.0</v>
      </c>
      <c r="P10" s="1" t="s">
        <v>66</v>
      </c>
      <c r="Q10" s="1">
        <v>2.0</v>
      </c>
      <c r="R10" s="1">
        <v>1.0</v>
      </c>
      <c r="S10" s="1">
        <v>0.0</v>
      </c>
      <c r="T10" s="1">
        <v>4.0</v>
      </c>
      <c r="U10" s="1" t="s">
        <v>58</v>
      </c>
      <c r="V10" s="1" t="b">
        <v>1</v>
      </c>
      <c r="W10" s="1" t="b">
        <v>1</v>
      </c>
      <c r="X10" s="1" t="b">
        <v>0</v>
      </c>
      <c r="Y10" s="1" t="b">
        <v>0</v>
      </c>
      <c r="Z10" s="1" t="b">
        <v>0</v>
      </c>
      <c r="AA10" s="1">
        <v>1.0</v>
      </c>
      <c r="AB10" s="1" t="s">
        <v>42</v>
      </c>
      <c r="AD10" s="1">
        <v>37.0</v>
      </c>
      <c r="AF10" s="1" t="s">
        <v>96</v>
      </c>
    </row>
    <row r="11" ht="14.25" customHeight="1">
      <c r="A11" s="1" t="s">
        <v>103</v>
      </c>
      <c r="B11" s="1" t="s">
        <v>104</v>
      </c>
      <c r="C11" s="1" t="s">
        <v>105</v>
      </c>
      <c r="D11" s="1" t="s">
        <v>35</v>
      </c>
      <c r="E11" s="1" t="s">
        <v>106</v>
      </c>
      <c r="F11" s="1" t="s">
        <v>37</v>
      </c>
      <c r="G11" s="1" t="s">
        <v>107</v>
      </c>
      <c r="H11" s="1" t="s">
        <v>55</v>
      </c>
      <c r="I11" s="1" t="s">
        <v>56</v>
      </c>
      <c r="J11" s="1" t="s">
        <v>108</v>
      </c>
      <c r="K11" s="1" t="s">
        <v>35</v>
      </c>
      <c r="L11" s="1" t="s">
        <v>35</v>
      </c>
      <c r="M11" s="1" t="s">
        <v>35</v>
      </c>
      <c r="N11" s="1" t="s">
        <v>35</v>
      </c>
      <c r="O11" s="1">
        <v>0.0</v>
      </c>
      <c r="P11" s="1" t="s">
        <v>35</v>
      </c>
      <c r="Q11" s="1">
        <v>4.0</v>
      </c>
      <c r="R11" s="1">
        <v>1.0</v>
      </c>
      <c r="S11" s="1">
        <v>0.0</v>
      </c>
      <c r="T11" s="1">
        <v>1.0</v>
      </c>
      <c r="U11" s="1" t="s">
        <v>41</v>
      </c>
      <c r="V11" s="1" t="b">
        <v>1</v>
      </c>
      <c r="W11" s="1" t="b">
        <v>0</v>
      </c>
      <c r="X11" s="1" t="b">
        <v>0</v>
      </c>
      <c r="Y11" s="1" t="b">
        <v>0</v>
      </c>
      <c r="Z11" s="1" t="b">
        <v>0</v>
      </c>
      <c r="AA11" s="1">
        <v>1.0</v>
      </c>
      <c r="AB11" s="1" t="s">
        <v>42</v>
      </c>
      <c r="AD11" s="1">
        <v>37.0</v>
      </c>
      <c r="AF11" s="1" t="s">
        <v>43</v>
      </c>
    </row>
    <row r="12" ht="14.25" customHeight="1">
      <c r="A12" s="1" t="s">
        <v>109</v>
      </c>
      <c r="B12" s="1" t="s">
        <v>110</v>
      </c>
      <c r="C12" s="1" t="s">
        <v>111</v>
      </c>
      <c r="D12" s="1" t="s">
        <v>35</v>
      </c>
      <c r="E12" s="1" t="s">
        <v>112</v>
      </c>
      <c r="F12" s="1" t="s">
        <v>37</v>
      </c>
      <c r="G12" s="1" t="s">
        <v>113</v>
      </c>
      <c r="H12" s="1" t="s">
        <v>55</v>
      </c>
      <c r="I12" s="1" t="s">
        <v>56</v>
      </c>
      <c r="J12" s="1" t="s">
        <v>114</v>
      </c>
      <c r="K12" s="1" t="s">
        <v>35</v>
      </c>
      <c r="L12" s="1" t="s">
        <v>35</v>
      </c>
      <c r="M12" s="1" t="s">
        <v>35</v>
      </c>
      <c r="N12" s="1" t="s">
        <v>35</v>
      </c>
      <c r="O12" s="1">
        <v>1.0</v>
      </c>
      <c r="P12" s="1" t="s">
        <v>66</v>
      </c>
      <c r="Q12" s="1">
        <v>4.0</v>
      </c>
      <c r="R12" s="1">
        <v>2.0</v>
      </c>
      <c r="S12" s="1">
        <v>1.0</v>
      </c>
      <c r="T12" s="1">
        <v>2.0</v>
      </c>
      <c r="U12" s="1" t="s">
        <v>58</v>
      </c>
      <c r="V12" s="1" t="b">
        <v>1</v>
      </c>
      <c r="W12" s="1" t="b">
        <v>1</v>
      </c>
      <c r="X12" s="1" t="b">
        <v>0</v>
      </c>
      <c r="Y12" s="1" t="b">
        <v>0</v>
      </c>
      <c r="Z12" s="1" t="b">
        <v>0</v>
      </c>
      <c r="AA12" s="1">
        <v>1.0</v>
      </c>
      <c r="AB12" s="1" t="s">
        <v>42</v>
      </c>
      <c r="AD12" s="1">
        <v>37.0</v>
      </c>
      <c r="AF12" s="1" t="s">
        <v>43</v>
      </c>
    </row>
    <row r="13" ht="14.25" customHeight="1">
      <c r="A13" s="1" t="s">
        <v>115</v>
      </c>
      <c r="B13" s="1" t="s">
        <v>116</v>
      </c>
      <c r="C13" s="1" t="s">
        <v>117</v>
      </c>
      <c r="D13" s="1" t="s">
        <v>35</v>
      </c>
      <c r="E13" s="1" t="s">
        <v>118</v>
      </c>
      <c r="F13" s="1" t="s">
        <v>37</v>
      </c>
      <c r="G13" s="1" t="s">
        <v>119</v>
      </c>
      <c r="H13" s="1" t="s">
        <v>55</v>
      </c>
      <c r="I13" s="1" t="s">
        <v>56</v>
      </c>
      <c r="J13" s="1" t="s">
        <v>120</v>
      </c>
      <c r="K13" s="1" t="s">
        <v>35</v>
      </c>
      <c r="L13" s="1" t="s">
        <v>35</v>
      </c>
      <c r="M13" s="1" t="s">
        <v>35</v>
      </c>
      <c r="N13" s="1" t="s">
        <v>35</v>
      </c>
      <c r="O13" s="1">
        <v>0.0</v>
      </c>
      <c r="P13" s="1" t="s">
        <v>35</v>
      </c>
      <c r="Q13" s="1">
        <v>4.0</v>
      </c>
      <c r="R13" s="1">
        <v>2.0</v>
      </c>
      <c r="S13" s="1">
        <v>1.0</v>
      </c>
      <c r="T13" s="1">
        <v>1.0</v>
      </c>
      <c r="U13" s="1" t="s">
        <v>41</v>
      </c>
      <c r="V13" s="1" t="b">
        <v>1</v>
      </c>
      <c r="W13" s="1" t="b">
        <v>0</v>
      </c>
      <c r="X13" s="1" t="b">
        <v>0</v>
      </c>
      <c r="Y13" s="1" t="b">
        <v>0</v>
      </c>
      <c r="Z13" s="1" t="b">
        <v>0</v>
      </c>
      <c r="AA13" s="1">
        <v>1.0</v>
      </c>
      <c r="AB13" s="1" t="s">
        <v>42</v>
      </c>
      <c r="AD13" s="1">
        <v>37.0</v>
      </c>
      <c r="AF13" s="1" t="s">
        <v>43</v>
      </c>
    </row>
    <row r="14" ht="14.25" customHeight="1">
      <c r="A14" s="1" t="s">
        <v>121</v>
      </c>
      <c r="B14" s="1" t="s">
        <v>122</v>
      </c>
      <c r="C14" s="1" t="s">
        <v>123</v>
      </c>
      <c r="D14" s="1" t="s">
        <v>35</v>
      </c>
      <c r="E14" s="1" t="s">
        <v>112</v>
      </c>
      <c r="F14" s="1" t="s">
        <v>37</v>
      </c>
      <c r="G14" s="1" t="s">
        <v>124</v>
      </c>
      <c r="H14" s="1" t="s">
        <v>35</v>
      </c>
      <c r="I14" s="1" t="s">
        <v>35</v>
      </c>
      <c r="J14" s="1" t="s">
        <v>125</v>
      </c>
      <c r="K14" s="1" t="s">
        <v>35</v>
      </c>
      <c r="L14" s="1" t="s">
        <v>35</v>
      </c>
      <c r="M14" s="1" t="s">
        <v>35</v>
      </c>
      <c r="N14" s="1" t="s">
        <v>35</v>
      </c>
      <c r="O14" s="1">
        <v>0.0</v>
      </c>
      <c r="P14" s="1" t="s">
        <v>35</v>
      </c>
      <c r="Q14" s="1">
        <v>4.0</v>
      </c>
      <c r="R14" s="1">
        <v>2.0</v>
      </c>
      <c r="S14" s="1">
        <v>3.0</v>
      </c>
      <c r="T14" s="1">
        <v>8.0</v>
      </c>
      <c r="U14" s="1" t="s">
        <v>58</v>
      </c>
      <c r="V14" s="1" t="b">
        <v>1</v>
      </c>
      <c r="W14" s="1" t="b">
        <v>1</v>
      </c>
      <c r="X14" s="1" t="b">
        <v>0</v>
      </c>
      <c r="Y14" s="1" t="b">
        <v>0</v>
      </c>
      <c r="Z14" s="1" t="b">
        <v>0</v>
      </c>
      <c r="AA14" s="1">
        <v>2.0</v>
      </c>
      <c r="AB14" s="1" t="s">
        <v>126</v>
      </c>
      <c r="AD14" s="1">
        <v>37.0</v>
      </c>
      <c r="AF14" s="1" t="s">
        <v>43</v>
      </c>
    </row>
    <row r="15" ht="14.25" customHeight="1">
      <c r="A15" s="2" t="s">
        <v>127</v>
      </c>
      <c r="B15" s="2" t="s">
        <v>122</v>
      </c>
      <c r="C15" s="2" t="s">
        <v>123</v>
      </c>
      <c r="D15" s="2" t="s">
        <v>35</v>
      </c>
      <c r="E15" s="2" t="s">
        <v>112</v>
      </c>
      <c r="F15" s="2" t="s">
        <v>37</v>
      </c>
      <c r="G15" s="2" t="s">
        <v>128</v>
      </c>
      <c r="H15" s="2" t="s">
        <v>35</v>
      </c>
      <c r="I15" s="2" t="s">
        <v>35</v>
      </c>
      <c r="J15" s="2" t="s">
        <v>129</v>
      </c>
      <c r="K15" s="2" t="s">
        <v>35</v>
      </c>
      <c r="L15" s="2" t="s">
        <v>35</v>
      </c>
      <c r="M15" s="2" t="s">
        <v>35</v>
      </c>
      <c r="N15" s="2" t="s">
        <v>35</v>
      </c>
      <c r="O15" s="2">
        <v>0.0</v>
      </c>
      <c r="P15" s="2" t="s">
        <v>35</v>
      </c>
      <c r="Q15" s="2">
        <v>1.0</v>
      </c>
      <c r="R15" s="2">
        <v>1.0</v>
      </c>
      <c r="S15" s="2">
        <v>0.0</v>
      </c>
      <c r="T15" s="2">
        <v>8.0</v>
      </c>
      <c r="U15" s="2" t="s">
        <v>58</v>
      </c>
      <c r="V15" s="2" t="b">
        <v>1</v>
      </c>
      <c r="W15" s="2" t="b">
        <v>1</v>
      </c>
      <c r="X15" s="2" t="b">
        <v>0</v>
      </c>
      <c r="Y15" s="2" t="b">
        <v>0</v>
      </c>
      <c r="Z15" s="2" t="b">
        <v>0</v>
      </c>
      <c r="AA15" s="2">
        <v>2.0</v>
      </c>
      <c r="AB15" s="2" t="s">
        <v>126</v>
      </c>
      <c r="AC15" s="2"/>
      <c r="AD15" s="2">
        <v>37.0</v>
      </c>
      <c r="AE15" s="2"/>
      <c r="AF15" s="2" t="s">
        <v>43</v>
      </c>
    </row>
    <row r="16" ht="14.25" customHeight="1">
      <c r="A16" s="1" t="s">
        <v>130</v>
      </c>
      <c r="B16" s="1" t="s">
        <v>131</v>
      </c>
      <c r="C16" s="1" t="s">
        <v>132</v>
      </c>
      <c r="D16" s="1" t="s">
        <v>35</v>
      </c>
      <c r="E16" s="1" t="s">
        <v>63</v>
      </c>
      <c r="F16" s="1" t="s">
        <v>37</v>
      </c>
      <c r="G16" s="1" t="s">
        <v>35</v>
      </c>
      <c r="H16" s="1" t="s">
        <v>35</v>
      </c>
      <c r="I16" s="1" t="s">
        <v>35</v>
      </c>
      <c r="J16" s="1" t="s">
        <v>133</v>
      </c>
      <c r="K16" s="1" t="s">
        <v>35</v>
      </c>
      <c r="L16" s="1" t="s">
        <v>35</v>
      </c>
      <c r="M16" s="1" t="s">
        <v>35</v>
      </c>
      <c r="N16" s="1" t="s">
        <v>35</v>
      </c>
      <c r="O16" s="1">
        <v>2.0</v>
      </c>
      <c r="P16" s="1" t="s">
        <v>66</v>
      </c>
      <c r="Q16" s="1">
        <v>1.0</v>
      </c>
      <c r="R16" s="1">
        <v>1.0</v>
      </c>
      <c r="S16" s="1">
        <v>4.0</v>
      </c>
      <c r="T16" s="1">
        <v>2.0</v>
      </c>
      <c r="U16" s="1" t="s">
        <v>58</v>
      </c>
      <c r="V16" s="1" t="b">
        <v>1</v>
      </c>
      <c r="W16" s="1" t="b">
        <v>1</v>
      </c>
      <c r="X16" s="1" t="b">
        <v>0</v>
      </c>
      <c r="Y16" s="1" t="b">
        <v>0</v>
      </c>
      <c r="Z16" s="1" t="b">
        <v>0</v>
      </c>
      <c r="AA16" s="1">
        <v>2.0</v>
      </c>
      <c r="AB16" s="1" t="s">
        <v>126</v>
      </c>
      <c r="AD16" s="1">
        <v>37.0</v>
      </c>
      <c r="AF16" s="1" t="s">
        <v>43</v>
      </c>
    </row>
    <row r="17" ht="14.25" customHeight="1">
      <c r="A17" s="1" t="s">
        <v>134</v>
      </c>
      <c r="B17" s="1" t="s">
        <v>131</v>
      </c>
      <c r="C17" s="1" t="s">
        <v>132</v>
      </c>
      <c r="D17" s="1" t="s">
        <v>35</v>
      </c>
      <c r="E17" s="1" t="s">
        <v>63</v>
      </c>
      <c r="F17" s="1" t="s">
        <v>37</v>
      </c>
      <c r="G17" s="1" t="s">
        <v>135</v>
      </c>
      <c r="H17" s="1" t="s">
        <v>55</v>
      </c>
      <c r="I17" s="1" t="s">
        <v>74</v>
      </c>
      <c r="J17" s="1" t="s">
        <v>136</v>
      </c>
      <c r="K17" s="1" t="s">
        <v>35</v>
      </c>
      <c r="L17" s="1" t="s">
        <v>35</v>
      </c>
      <c r="M17" s="1" t="s">
        <v>35</v>
      </c>
      <c r="N17" s="1" t="s">
        <v>35</v>
      </c>
      <c r="O17" s="1">
        <v>0.0</v>
      </c>
      <c r="P17" s="1" t="s">
        <v>35</v>
      </c>
      <c r="Q17" s="1">
        <v>4.0</v>
      </c>
      <c r="R17" s="1">
        <v>3.0</v>
      </c>
      <c r="S17" s="1">
        <v>2.0</v>
      </c>
      <c r="T17" s="1">
        <v>2.0</v>
      </c>
      <c r="U17" s="1" t="s">
        <v>58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>
        <v>2.0</v>
      </c>
      <c r="AB17" s="1" t="s">
        <v>126</v>
      </c>
      <c r="AD17" s="1">
        <v>37.0</v>
      </c>
      <c r="AF17" s="1" t="s">
        <v>43</v>
      </c>
    </row>
    <row r="18" ht="14.25" customHeight="1">
      <c r="A18" s="1" t="s">
        <v>137</v>
      </c>
      <c r="B18" s="1" t="s">
        <v>138</v>
      </c>
      <c r="C18" s="1" t="s">
        <v>139</v>
      </c>
      <c r="D18" s="1" t="s">
        <v>35</v>
      </c>
      <c r="E18" s="1" t="s">
        <v>140</v>
      </c>
      <c r="F18" s="1" t="s">
        <v>37</v>
      </c>
      <c r="G18" s="1" t="s">
        <v>141</v>
      </c>
      <c r="H18" s="1" t="s">
        <v>55</v>
      </c>
      <c r="I18" s="1" t="s">
        <v>56</v>
      </c>
      <c r="J18" s="1" t="s">
        <v>142</v>
      </c>
      <c r="K18" s="1" t="s">
        <v>35</v>
      </c>
      <c r="L18" s="1" t="s">
        <v>35</v>
      </c>
      <c r="M18" s="1" t="s">
        <v>35</v>
      </c>
      <c r="N18" s="1" t="s">
        <v>35</v>
      </c>
      <c r="O18" s="1">
        <v>0.0</v>
      </c>
      <c r="P18" s="1" t="s">
        <v>35</v>
      </c>
      <c r="Q18" s="1">
        <v>3.0</v>
      </c>
      <c r="R18" s="1">
        <v>1.0</v>
      </c>
      <c r="S18" s="1">
        <v>0.0</v>
      </c>
      <c r="T18" s="1">
        <v>1.0</v>
      </c>
      <c r="U18" s="1" t="s">
        <v>41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>
        <v>2.0</v>
      </c>
      <c r="AB18" s="1" t="s">
        <v>143</v>
      </c>
      <c r="AC18" s="1" t="s">
        <v>144</v>
      </c>
      <c r="AD18" s="1">
        <v>37.0</v>
      </c>
      <c r="AF18" s="1" t="s">
        <v>43</v>
      </c>
    </row>
    <row r="19" ht="14.25" customHeight="1">
      <c r="A19" s="1" t="s">
        <v>145</v>
      </c>
      <c r="B19" s="1" t="s">
        <v>146</v>
      </c>
      <c r="C19" s="1" t="s">
        <v>147</v>
      </c>
      <c r="D19" s="1" t="s">
        <v>35</v>
      </c>
      <c r="E19" s="1" t="s">
        <v>148</v>
      </c>
      <c r="F19" s="1" t="s">
        <v>37</v>
      </c>
      <c r="G19" s="1">
        <v>8759764.0</v>
      </c>
      <c r="H19" s="1" t="s">
        <v>55</v>
      </c>
      <c r="I19" s="1" t="s">
        <v>56</v>
      </c>
      <c r="J19" s="1" t="s">
        <v>149</v>
      </c>
      <c r="K19" s="1" t="s">
        <v>35</v>
      </c>
      <c r="L19" s="1" t="s">
        <v>35</v>
      </c>
      <c r="M19" s="1" t="s">
        <v>35</v>
      </c>
      <c r="N19" s="1" t="s">
        <v>35</v>
      </c>
      <c r="O19" s="1">
        <v>0.0</v>
      </c>
      <c r="P19" s="1" t="s">
        <v>35</v>
      </c>
      <c r="Q19" s="1">
        <v>5.0</v>
      </c>
      <c r="R19" s="1">
        <v>3.0</v>
      </c>
      <c r="S19" s="1">
        <v>6.0</v>
      </c>
      <c r="T19" s="1">
        <v>1.0</v>
      </c>
      <c r="U19" s="1" t="s">
        <v>41</v>
      </c>
      <c r="V19" s="1" t="b">
        <v>1</v>
      </c>
      <c r="W19" s="1" t="b">
        <v>1</v>
      </c>
      <c r="X19" s="1" t="b">
        <v>0</v>
      </c>
      <c r="Y19" s="1" t="b">
        <v>0</v>
      </c>
      <c r="Z19" s="1" t="b">
        <v>0</v>
      </c>
      <c r="AA19" s="1">
        <v>2.0</v>
      </c>
      <c r="AB19" s="1" t="s">
        <v>126</v>
      </c>
      <c r="AD19" s="1">
        <v>37.0</v>
      </c>
      <c r="AF19" s="1" t="s">
        <v>43</v>
      </c>
    </row>
    <row r="20" ht="14.25" customHeight="1">
      <c r="A20" s="1" t="s">
        <v>150</v>
      </c>
      <c r="B20" s="1" t="s">
        <v>51</v>
      </c>
      <c r="C20" s="1" t="s">
        <v>52</v>
      </c>
      <c r="D20" s="1" t="s">
        <v>35</v>
      </c>
      <c r="E20" s="1" t="s">
        <v>53</v>
      </c>
      <c r="F20" s="1" t="s">
        <v>37</v>
      </c>
      <c r="G20" s="1" t="s">
        <v>151</v>
      </c>
      <c r="H20" s="1" t="s">
        <v>55</v>
      </c>
      <c r="I20" s="1" t="s">
        <v>74</v>
      </c>
      <c r="J20" s="1" t="s">
        <v>152</v>
      </c>
      <c r="K20" s="1" t="s">
        <v>35</v>
      </c>
      <c r="L20" s="1" t="s">
        <v>35</v>
      </c>
      <c r="M20" s="1" t="s">
        <v>35</v>
      </c>
      <c r="N20" s="1" t="s">
        <v>35</v>
      </c>
      <c r="O20" s="1">
        <v>1.0</v>
      </c>
      <c r="P20" s="1" t="s">
        <v>66</v>
      </c>
      <c r="Q20" s="1">
        <v>4.0</v>
      </c>
      <c r="R20" s="1">
        <v>2.0</v>
      </c>
      <c r="S20" s="1">
        <v>1.0</v>
      </c>
      <c r="T20" s="1">
        <v>2.0</v>
      </c>
      <c r="U20" s="1" t="s">
        <v>58</v>
      </c>
      <c r="V20" s="1" t="b">
        <v>1</v>
      </c>
      <c r="W20" s="1" t="b">
        <v>1</v>
      </c>
      <c r="X20" s="1" t="b">
        <v>0</v>
      </c>
      <c r="Y20" s="1" t="b">
        <v>0</v>
      </c>
      <c r="Z20" s="1" t="b">
        <v>0</v>
      </c>
      <c r="AA20" s="1">
        <v>2.0</v>
      </c>
      <c r="AB20" s="1" t="s">
        <v>126</v>
      </c>
      <c r="AD20" s="1">
        <v>37.0</v>
      </c>
      <c r="AF20" s="1" t="s">
        <v>96</v>
      </c>
    </row>
    <row r="21" ht="14.25" customHeight="1">
      <c r="A21" s="1" t="s">
        <v>153</v>
      </c>
      <c r="B21" s="1" t="s">
        <v>154</v>
      </c>
      <c r="C21" s="1" t="s">
        <v>155</v>
      </c>
      <c r="D21" s="1" t="s">
        <v>35</v>
      </c>
      <c r="E21" s="1" t="s">
        <v>86</v>
      </c>
      <c r="F21" s="1" t="s">
        <v>37</v>
      </c>
      <c r="G21" s="1" t="s">
        <v>81</v>
      </c>
      <c r="H21" s="1" t="s">
        <v>35</v>
      </c>
      <c r="I21" s="1" t="s">
        <v>35</v>
      </c>
      <c r="J21" s="1" t="s">
        <v>156</v>
      </c>
      <c r="K21" s="1" t="s">
        <v>35</v>
      </c>
      <c r="L21" s="1" t="s">
        <v>35</v>
      </c>
      <c r="M21" s="1" t="s">
        <v>35</v>
      </c>
      <c r="N21" s="1" t="s">
        <v>35</v>
      </c>
      <c r="O21" s="1">
        <v>1.0</v>
      </c>
      <c r="P21" s="1" t="s">
        <v>66</v>
      </c>
      <c r="Q21" s="1">
        <v>2.0</v>
      </c>
      <c r="R21" s="1">
        <v>1.0</v>
      </c>
      <c r="S21" s="1">
        <v>0.0</v>
      </c>
      <c r="T21" s="1">
        <v>2.0</v>
      </c>
      <c r="U21" s="1" t="s">
        <v>58</v>
      </c>
      <c r="V21" s="1" t="b">
        <v>1</v>
      </c>
      <c r="W21" s="1" t="b">
        <v>1</v>
      </c>
      <c r="X21" s="1" t="b">
        <v>0</v>
      </c>
      <c r="Y21" s="1" t="b">
        <v>0</v>
      </c>
      <c r="Z21" s="1" t="b">
        <v>0</v>
      </c>
      <c r="AA21" s="1">
        <v>2.0</v>
      </c>
      <c r="AB21" s="1" t="s">
        <v>126</v>
      </c>
      <c r="AD21" s="1">
        <v>37.0</v>
      </c>
      <c r="AF21" s="1" t="s">
        <v>43</v>
      </c>
    </row>
    <row r="22" ht="14.25" customHeight="1">
      <c r="A22" s="1" t="s">
        <v>157</v>
      </c>
      <c r="B22" s="1" t="s">
        <v>158</v>
      </c>
      <c r="C22" s="1" t="s">
        <v>159</v>
      </c>
      <c r="D22" s="1" t="s">
        <v>35</v>
      </c>
      <c r="E22" s="1" t="s">
        <v>71</v>
      </c>
      <c r="F22" s="1" t="s">
        <v>37</v>
      </c>
      <c r="G22" s="1" t="s">
        <v>160</v>
      </c>
      <c r="H22" s="1" t="s">
        <v>55</v>
      </c>
      <c r="I22" s="1" t="s">
        <v>74</v>
      </c>
      <c r="J22" s="1" t="s">
        <v>161</v>
      </c>
      <c r="K22" s="1" t="s">
        <v>35</v>
      </c>
      <c r="L22" s="1" t="s">
        <v>35</v>
      </c>
      <c r="M22" s="1" t="s">
        <v>35</v>
      </c>
      <c r="N22" s="1" t="s">
        <v>35</v>
      </c>
      <c r="O22" s="1">
        <v>0.0</v>
      </c>
      <c r="P22" s="1" t="s">
        <v>35</v>
      </c>
      <c r="Q22" s="1">
        <v>4.0</v>
      </c>
      <c r="R22" s="1">
        <v>2.0</v>
      </c>
      <c r="S22" s="1">
        <v>1.0</v>
      </c>
      <c r="T22" s="1">
        <v>3.0</v>
      </c>
      <c r="U22" s="1" t="s">
        <v>58</v>
      </c>
      <c r="V22" s="1" t="b">
        <v>1</v>
      </c>
      <c r="W22" s="1" t="b">
        <v>1</v>
      </c>
      <c r="X22" s="1" t="b">
        <v>0</v>
      </c>
      <c r="Y22" s="1" t="b">
        <v>0</v>
      </c>
      <c r="Z22" s="1" t="b">
        <v>0</v>
      </c>
      <c r="AA22" s="1">
        <v>2.0</v>
      </c>
      <c r="AB22" s="1" t="s">
        <v>126</v>
      </c>
      <c r="AD22" s="1">
        <v>37.0</v>
      </c>
      <c r="AF22" s="1" t="s">
        <v>96</v>
      </c>
    </row>
    <row r="23" ht="14.25" customHeight="1">
      <c r="A23" s="1" t="s">
        <v>162</v>
      </c>
      <c r="B23" s="1" t="s">
        <v>110</v>
      </c>
      <c r="C23" s="1" t="s">
        <v>111</v>
      </c>
      <c r="D23" s="1" t="s">
        <v>35</v>
      </c>
      <c r="E23" s="1" t="s">
        <v>112</v>
      </c>
      <c r="F23" s="1" t="s">
        <v>37</v>
      </c>
      <c r="G23" s="1" t="s">
        <v>163</v>
      </c>
      <c r="H23" s="1" t="s">
        <v>55</v>
      </c>
      <c r="I23" s="1" t="s">
        <v>74</v>
      </c>
      <c r="J23" s="1" t="s">
        <v>164</v>
      </c>
      <c r="K23" s="1" t="s">
        <v>35</v>
      </c>
      <c r="L23" s="1" t="s">
        <v>35</v>
      </c>
      <c r="M23" s="1" t="s">
        <v>35</v>
      </c>
      <c r="N23" s="1" t="s">
        <v>35</v>
      </c>
      <c r="O23" s="1">
        <v>0.0</v>
      </c>
      <c r="P23" s="1" t="s">
        <v>35</v>
      </c>
      <c r="Q23" s="1">
        <v>4.0</v>
      </c>
      <c r="R23" s="1">
        <v>2.0</v>
      </c>
      <c r="S23" s="1">
        <v>1.0</v>
      </c>
      <c r="T23" s="1">
        <v>2.0</v>
      </c>
      <c r="U23" s="1" t="s">
        <v>58</v>
      </c>
      <c r="V23" s="1" t="b">
        <v>1</v>
      </c>
      <c r="W23" s="1" t="b">
        <v>1</v>
      </c>
      <c r="X23" s="1" t="b">
        <v>0</v>
      </c>
      <c r="Y23" s="1" t="b">
        <v>0</v>
      </c>
      <c r="Z23" s="1" t="b">
        <v>0</v>
      </c>
      <c r="AA23" s="1">
        <v>2.0</v>
      </c>
      <c r="AB23" s="1" t="s">
        <v>126</v>
      </c>
      <c r="AD23" s="1">
        <v>37.0</v>
      </c>
      <c r="AF23" s="1" t="s">
        <v>43</v>
      </c>
    </row>
    <row r="24" ht="14.25" customHeight="1">
      <c r="A24" s="1" t="s">
        <v>165</v>
      </c>
      <c r="B24" s="1" t="s">
        <v>166</v>
      </c>
      <c r="C24" s="1" t="s">
        <v>167</v>
      </c>
      <c r="D24" s="1" t="s">
        <v>35</v>
      </c>
      <c r="E24" s="1" t="s">
        <v>168</v>
      </c>
      <c r="F24" s="1" t="s">
        <v>37</v>
      </c>
      <c r="G24" s="1" t="s">
        <v>35</v>
      </c>
      <c r="H24" s="1" t="s">
        <v>55</v>
      </c>
      <c r="I24" s="1" t="s">
        <v>35</v>
      </c>
      <c r="J24" s="1" t="s">
        <v>169</v>
      </c>
      <c r="K24" s="1" t="s">
        <v>35</v>
      </c>
      <c r="L24" s="1" t="s">
        <v>35</v>
      </c>
      <c r="M24" s="1" t="s">
        <v>35</v>
      </c>
      <c r="N24" s="1" t="s">
        <v>35</v>
      </c>
      <c r="O24" s="1">
        <v>1.0</v>
      </c>
      <c r="P24" s="1" t="s">
        <v>76</v>
      </c>
      <c r="Q24" s="1">
        <v>4.0</v>
      </c>
      <c r="R24" s="1">
        <v>2.0</v>
      </c>
      <c r="S24" s="1">
        <v>1.0</v>
      </c>
      <c r="T24" s="1">
        <v>2.0</v>
      </c>
      <c r="U24" s="1" t="s">
        <v>58</v>
      </c>
      <c r="V24" s="1" t="b">
        <v>1</v>
      </c>
      <c r="W24" s="1" t="b">
        <v>1</v>
      </c>
      <c r="X24" s="1" t="b">
        <v>0</v>
      </c>
      <c r="Y24" s="1" t="b">
        <v>0</v>
      </c>
      <c r="Z24" s="1" t="b">
        <v>0</v>
      </c>
      <c r="AA24" s="1">
        <v>2.0</v>
      </c>
      <c r="AB24" s="1" t="s">
        <v>126</v>
      </c>
      <c r="AD24" s="1">
        <v>37.0</v>
      </c>
      <c r="AF24" s="1" t="s">
        <v>43</v>
      </c>
    </row>
    <row r="25" ht="14.25" customHeight="1">
      <c r="A25" s="1" t="s">
        <v>170</v>
      </c>
      <c r="B25" s="1" t="s">
        <v>122</v>
      </c>
      <c r="C25" s="1" t="s">
        <v>123</v>
      </c>
      <c r="D25" s="1" t="s">
        <v>35</v>
      </c>
      <c r="E25" s="1" t="s">
        <v>112</v>
      </c>
      <c r="F25" s="1" t="s">
        <v>37</v>
      </c>
      <c r="G25" s="3">
        <v>2.7181719E7</v>
      </c>
      <c r="H25" s="1" t="s">
        <v>55</v>
      </c>
      <c r="I25" s="1" t="s">
        <v>56</v>
      </c>
      <c r="J25" s="1" t="s">
        <v>171</v>
      </c>
      <c r="K25" s="1" t="s">
        <v>35</v>
      </c>
      <c r="L25" s="1" t="s">
        <v>172</v>
      </c>
      <c r="M25" s="1" t="s">
        <v>35</v>
      </c>
      <c r="N25" s="1" t="s">
        <v>35</v>
      </c>
      <c r="O25" s="1">
        <v>1.0</v>
      </c>
      <c r="P25" s="1" t="s">
        <v>66</v>
      </c>
      <c r="Q25" s="1">
        <v>5.0</v>
      </c>
      <c r="R25" s="1">
        <v>2.0</v>
      </c>
      <c r="S25" s="1">
        <v>3.0</v>
      </c>
      <c r="T25" s="1">
        <v>8.0</v>
      </c>
      <c r="U25" s="1" t="s">
        <v>58</v>
      </c>
      <c r="V25" s="1" t="b">
        <v>1</v>
      </c>
      <c r="W25" s="1" t="b">
        <v>0</v>
      </c>
      <c r="X25" s="1" t="b">
        <v>0</v>
      </c>
      <c r="Y25" s="1" t="b">
        <v>0</v>
      </c>
      <c r="Z25" s="1" t="b">
        <v>0</v>
      </c>
      <c r="AA25" s="1">
        <v>2.0</v>
      </c>
      <c r="AB25" s="1" t="s">
        <v>126</v>
      </c>
      <c r="AD25" s="1">
        <v>37.0</v>
      </c>
      <c r="AF25" s="1" t="s">
        <v>43</v>
      </c>
    </row>
    <row r="26" ht="14.25" customHeight="1">
      <c r="A26" s="1" t="s">
        <v>173</v>
      </c>
      <c r="B26" s="1" t="s">
        <v>154</v>
      </c>
      <c r="C26" s="1" t="s">
        <v>155</v>
      </c>
      <c r="D26" s="1" t="s">
        <v>35</v>
      </c>
      <c r="E26" s="1" t="s">
        <v>86</v>
      </c>
      <c r="F26" s="1" t="s">
        <v>37</v>
      </c>
      <c r="G26" s="1" t="s">
        <v>174</v>
      </c>
      <c r="H26" s="1" t="s">
        <v>55</v>
      </c>
      <c r="I26" s="1" t="s">
        <v>56</v>
      </c>
      <c r="J26" s="1" t="s">
        <v>175</v>
      </c>
      <c r="K26" s="1" t="s">
        <v>35</v>
      </c>
      <c r="L26" s="1" t="s">
        <v>35</v>
      </c>
      <c r="M26" s="1" t="s">
        <v>35</v>
      </c>
      <c r="N26" s="1" t="s">
        <v>35</v>
      </c>
      <c r="O26" s="1">
        <v>0.0</v>
      </c>
      <c r="P26" s="1" t="s">
        <v>35</v>
      </c>
      <c r="Q26" s="1">
        <v>6.0</v>
      </c>
      <c r="R26" s="1">
        <v>4.0</v>
      </c>
      <c r="S26" s="1">
        <v>4.0</v>
      </c>
      <c r="T26" s="1">
        <v>2.0</v>
      </c>
      <c r="U26" s="1" t="s">
        <v>58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>
        <v>2.0</v>
      </c>
      <c r="AB26" s="1" t="s">
        <v>126</v>
      </c>
      <c r="AD26" s="1">
        <v>37.0</v>
      </c>
      <c r="AF26" s="1" t="s">
        <v>43</v>
      </c>
    </row>
    <row r="27" ht="14.25" customHeight="1">
      <c r="A27" s="1" t="s">
        <v>176</v>
      </c>
      <c r="B27" s="1" t="s">
        <v>177</v>
      </c>
      <c r="C27" s="1" t="s">
        <v>178</v>
      </c>
      <c r="D27" s="1" t="s">
        <v>35</v>
      </c>
      <c r="E27" s="1" t="s">
        <v>179</v>
      </c>
      <c r="F27" s="1" t="s">
        <v>37</v>
      </c>
      <c r="G27" s="1" t="s">
        <v>180</v>
      </c>
      <c r="H27" s="1" t="s">
        <v>55</v>
      </c>
      <c r="I27" s="1" t="s">
        <v>56</v>
      </c>
      <c r="J27" s="1" t="s">
        <v>181</v>
      </c>
      <c r="K27" s="1" t="s">
        <v>35</v>
      </c>
      <c r="L27" s="1" t="s">
        <v>35</v>
      </c>
      <c r="M27" s="1" t="s">
        <v>35</v>
      </c>
      <c r="N27" s="1" t="s">
        <v>182</v>
      </c>
      <c r="O27" s="1">
        <v>1.0</v>
      </c>
      <c r="P27" s="1" t="s">
        <v>66</v>
      </c>
      <c r="Q27" s="1">
        <v>6.0</v>
      </c>
      <c r="R27" s="1">
        <v>5.0</v>
      </c>
      <c r="S27" s="1">
        <v>7.0</v>
      </c>
      <c r="T27" s="1">
        <v>1.0</v>
      </c>
      <c r="U27" s="1" t="s">
        <v>41</v>
      </c>
      <c r="V27" s="1" t="b">
        <v>1</v>
      </c>
      <c r="W27" s="1" t="b">
        <v>0</v>
      </c>
      <c r="X27" s="1" t="b">
        <v>0</v>
      </c>
      <c r="Y27" s="1" t="b">
        <v>0</v>
      </c>
      <c r="Z27" s="1" t="b">
        <v>0</v>
      </c>
      <c r="AA27" s="1">
        <v>2.0</v>
      </c>
      <c r="AB27" s="1" t="s">
        <v>126</v>
      </c>
      <c r="AD27" s="1">
        <v>37.0</v>
      </c>
      <c r="AF27" s="1" t="s">
        <v>43</v>
      </c>
    </row>
    <row r="28" ht="14.25" customHeight="1">
      <c r="A28" s="1" t="s">
        <v>183</v>
      </c>
      <c r="B28" s="1" t="s">
        <v>68</v>
      </c>
      <c r="C28" s="1" t="s">
        <v>69</v>
      </c>
      <c r="D28" s="1" t="s">
        <v>70</v>
      </c>
      <c r="E28" s="1" t="s">
        <v>71</v>
      </c>
      <c r="F28" s="1" t="s">
        <v>37</v>
      </c>
      <c r="G28" s="1" t="s">
        <v>81</v>
      </c>
      <c r="H28" s="1" t="s">
        <v>35</v>
      </c>
      <c r="I28" s="1" t="s">
        <v>35</v>
      </c>
      <c r="J28" s="1" t="s">
        <v>184</v>
      </c>
      <c r="K28" s="1" t="s">
        <v>35</v>
      </c>
      <c r="L28" s="1" t="s">
        <v>35</v>
      </c>
      <c r="M28" s="1" t="s">
        <v>35</v>
      </c>
      <c r="N28" s="1" t="s">
        <v>185</v>
      </c>
      <c r="O28" s="1">
        <v>1.0</v>
      </c>
      <c r="P28" s="1" t="s">
        <v>66</v>
      </c>
      <c r="Q28" s="1">
        <v>6.0</v>
      </c>
      <c r="R28" s="1">
        <v>3.0</v>
      </c>
      <c r="S28" s="1">
        <v>3.0</v>
      </c>
      <c r="T28" s="1">
        <v>9.0</v>
      </c>
      <c r="U28" s="1" t="s">
        <v>58</v>
      </c>
      <c r="V28" s="1" t="b">
        <v>1</v>
      </c>
      <c r="W28" s="1" t="b">
        <v>0</v>
      </c>
      <c r="X28" s="1" t="b">
        <v>0</v>
      </c>
      <c r="Y28" s="1" t="b">
        <v>0</v>
      </c>
      <c r="Z28" s="1" t="b">
        <v>0</v>
      </c>
      <c r="AA28" s="1">
        <v>3.0</v>
      </c>
      <c r="AB28" s="1" t="s">
        <v>126</v>
      </c>
      <c r="AD28" s="1">
        <v>37.0</v>
      </c>
      <c r="AF28" s="1" t="s">
        <v>43</v>
      </c>
    </row>
    <row r="29" ht="14.25" customHeight="1">
      <c r="A29" s="1" t="s">
        <v>186</v>
      </c>
      <c r="B29" s="1" t="s">
        <v>158</v>
      </c>
      <c r="C29" s="1" t="s">
        <v>159</v>
      </c>
      <c r="D29" s="1" t="s">
        <v>35</v>
      </c>
      <c r="E29" s="1" t="s">
        <v>71</v>
      </c>
      <c r="F29" s="1" t="s">
        <v>37</v>
      </c>
      <c r="G29" s="1" t="s">
        <v>187</v>
      </c>
      <c r="H29" s="1" t="s">
        <v>81</v>
      </c>
      <c r="I29" s="1" t="s">
        <v>35</v>
      </c>
      <c r="J29" s="1" t="s">
        <v>188</v>
      </c>
      <c r="K29" s="1" t="s">
        <v>35</v>
      </c>
      <c r="L29" s="1" t="s">
        <v>35</v>
      </c>
      <c r="M29" s="1" t="s">
        <v>35</v>
      </c>
      <c r="N29" s="1" t="s">
        <v>189</v>
      </c>
      <c r="O29" s="1">
        <v>0.0</v>
      </c>
      <c r="P29" s="1" t="s">
        <v>35</v>
      </c>
      <c r="Q29" s="1">
        <v>1.0</v>
      </c>
      <c r="R29" s="1">
        <v>1.0</v>
      </c>
      <c r="S29" s="1">
        <v>0.0</v>
      </c>
      <c r="T29" s="1">
        <v>3.0</v>
      </c>
      <c r="U29" s="1" t="s">
        <v>58</v>
      </c>
      <c r="V29" s="1" t="b">
        <v>1</v>
      </c>
      <c r="W29" s="1" t="b">
        <v>0</v>
      </c>
      <c r="X29" s="1" t="b">
        <v>0</v>
      </c>
      <c r="Y29" s="1" t="b">
        <v>0</v>
      </c>
      <c r="Z29" s="1" t="b">
        <v>0</v>
      </c>
      <c r="AA29" s="1">
        <v>3.0</v>
      </c>
      <c r="AB29" s="1" t="s">
        <v>126</v>
      </c>
      <c r="AD29" s="1">
        <v>37.0</v>
      </c>
      <c r="AF29" s="1" t="s">
        <v>43</v>
      </c>
    </row>
    <row r="30" ht="14.25" customHeight="1">
      <c r="A30" s="1" t="s">
        <v>190</v>
      </c>
      <c r="B30" s="1" t="s">
        <v>191</v>
      </c>
      <c r="C30" s="1" t="s">
        <v>192</v>
      </c>
      <c r="D30" s="1" t="s">
        <v>35</v>
      </c>
      <c r="E30" s="1" t="s">
        <v>71</v>
      </c>
      <c r="F30" s="1" t="s">
        <v>37</v>
      </c>
      <c r="G30" s="1" t="s">
        <v>193</v>
      </c>
      <c r="H30" s="1" t="s">
        <v>55</v>
      </c>
      <c r="I30" s="1" t="s">
        <v>56</v>
      </c>
      <c r="J30" s="1" t="s">
        <v>194</v>
      </c>
      <c r="K30" s="1" t="s">
        <v>35</v>
      </c>
      <c r="L30" s="1" t="s">
        <v>35</v>
      </c>
      <c r="M30" s="1" t="s">
        <v>35</v>
      </c>
      <c r="N30" s="1" t="s">
        <v>195</v>
      </c>
      <c r="O30" s="1">
        <v>0.0</v>
      </c>
      <c r="P30" s="1" t="s">
        <v>35</v>
      </c>
      <c r="Q30" s="1">
        <v>4.0</v>
      </c>
      <c r="R30" s="1">
        <v>3.0</v>
      </c>
      <c r="S30" s="1">
        <v>2.0</v>
      </c>
      <c r="T30" s="1">
        <v>1.0</v>
      </c>
      <c r="U30" s="1" t="s">
        <v>41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>
        <v>3.0</v>
      </c>
      <c r="AB30" s="1" t="s">
        <v>42</v>
      </c>
      <c r="AD30" s="1">
        <v>37.0</v>
      </c>
      <c r="AE30" s="1" t="s">
        <v>196</v>
      </c>
      <c r="AF30" s="1" t="s">
        <v>43</v>
      </c>
    </row>
    <row r="31" ht="14.25" customHeight="1">
      <c r="A31" s="1" t="s">
        <v>197</v>
      </c>
      <c r="B31" s="1" t="s">
        <v>166</v>
      </c>
      <c r="C31" s="1" t="s">
        <v>167</v>
      </c>
      <c r="D31" s="1" t="s">
        <v>35</v>
      </c>
      <c r="E31" s="1" t="s">
        <v>168</v>
      </c>
      <c r="F31" s="1" t="s">
        <v>37</v>
      </c>
      <c r="G31" s="1" t="s">
        <v>198</v>
      </c>
      <c r="H31" s="1" t="s">
        <v>55</v>
      </c>
      <c r="I31" s="1" t="s">
        <v>56</v>
      </c>
      <c r="J31" s="1" t="s">
        <v>199</v>
      </c>
      <c r="K31" s="1" t="s">
        <v>35</v>
      </c>
      <c r="L31" s="1" t="s">
        <v>35</v>
      </c>
      <c r="M31" s="1" t="s">
        <v>35</v>
      </c>
      <c r="N31" s="1" t="s">
        <v>35</v>
      </c>
      <c r="O31" s="1">
        <v>1.0</v>
      </c>
      <c r="P31" s="1" t="s">
        <v>66</v>
      </c>
      <c r="Q31" s="1">
        <v>4.0</v>
      </c>
      <c r="R31" s="1">
        <v>2.0</v>
      </c>
      <c r="S31" s="1">
        <v>1.0</v>
      </c>
      <c r="T31" s="1">
        <v>2.0</v>
      </c>
      <c r="U31" s="1" t="s">
        <v>58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>
        <v>3.0</v>
      </c>
      <c r="AB31" s="1" t="s">
        <v>42</v>
      </c>
      <c r="AD31" s="1">
        <v>37.0</v>
      </c>
      <c r="AF31" s="1" t="s">
        <v>43</v>
      </c>
    </row>
    <row r="32" ht="14.25" customHeight="1">
      <c r="A32" s="1" t="s">
        <v>200</v>
      </c>
      <c r="B32" s="1" t="s">
        <v>201</v>
      </c>
      <c r="C32" s="1" t="s">
        <v>202</v>
      </c>
      <c r="D32" s="1" t="s">
        <v>35</v>
      </c>
      <c r="E32" s="1" t="s">
        <v>203</v>
      </c>
      <c r="F32" s="1" t="s">
        <v>37</v>
      </c>
      <c r="G32" s="1" t="s">
        <v>35</v>
      </c>
      <c r="H32" s="1" t="s">
        <v>55</v>
      </c>
      <c r="I32" s="1" t="s">
        <v>35</v>
      </c>
      <c r="J32" s="1" t="s">
        <v>204</v>
      </c>
      <c r="K32" s="1" t="s">
        <v>35</v>
      </c>
      <c r="L32" s="1" t="s">
        <v>35</v>
      </c>
      <c r="M32" s="1" t="s">
        <v>35</v>
      </c>
      <c r="N32" s="1" t="s">
        <v>35</v>
      </c>
      <c r="O32" s="1">
        <v>0.0</v>
      </c>
      <c r="P32" s="1" t="s">
        <v>35</v>
      </c>
      <c r="Q32" s="1">
        <v>13.0</v>
      </c>
      <c r="R32" s="1">
        <v>4.0</v>
      </c>
      <c r="S32" s="1">
        <v>3.0</v>
      </c>
      <c r="T32" s="1">
        <v>1.0</v>
      </c>
      <c r="U32" s="1" t="s">
        <v>41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>
        <v>3.0</v>
      </c>
      <c r="AB32" s="1" t="s">
        <v>42</v>
      </c>
      <c r="AD32" s="1">
        <v>37.0</v>
      </c>
      <c r="AE32" s="1" t="s">
        <v>196</v>
      </c>
      <c r="AF32" s="1" t="s">
        <v>43</v>
      </c>
    </row>
    <row r="33" ht="14.25" customHeight="1">
      <c r="A33" s="1" t="s">
        <v>205</v>
      </c>
      <c r="B33" s="1" t="s">
        <v>206</v>
      </c>
      <c r="C33" s="1" t="s">
        <v>207</v>
      </c>
      <c r="D33" s="1" t="s">
        <v>35</v>
      </c>
      <c r="E33" s="1" t="s">
        <v>93</v>
      </c>
      <c r="F33" s="1" t="s">
        <v>37</v>
      </c>
      <c r="G33" s="3">
        <v>2.5402188E7</v>
      </c>
      <c r="H33" s="1" t="s">
        <v>55</v>
      </c>
      <c r="I33" s="1" t="s">
        <v>74</v>
      </c>
      <c r="J33" s="1" t="s">
        <v>208</v>
      </c>
      <c r="K33" s="1" t="s">
        <v>35</v>
      </c>
      <c r="L33" s="1" t="s">
        <v>35</v>
      </c>
      <c r="M33" s="1" t="s">
        <v>35</v>
      </c>
      <c r="N33" s="1" t="s">
        <v>35</v>
      </c>
      <c r="O33" s="1">
        <v>0.0</v>
      </c>
      <c r="P33" s="1" t="s">
        <v>35</v>
      </c>
      <c r="Q33" s="1">
        <v>9.0</v>
      </c>
      <c r="R33" s="1">
        <v>4.0</v>
      </c>
      <c r="S33" s="1">
        <v>5.0</v>
      </c>
      <c r="T33" s="1">
        <v>1.0</v>
      </c>
      <c r="U33" s="1" t="s">
        <v>41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>
        <v>3.0</v>
      </c>
      <c r="AB33" s="1" t="s">
        <v>126</v>
      </c>
      <c r="AD33" s="1">
        <v>37.0</v>
      </c>
      <c r="AF33" s="1" t="s">
        <v>43</v>
      </c>
    </row>
    <row r="34" ht="14.25" customHeight="1"/>
    <row r="35" ht="14.25" customHeight="1"/>
    <row r="36" ht="14.25" customHeight="1"/>
    <row r="37" ht="14.25" customHeight="1">
      <c r="AB37" s="1" t="str">
        <f>IFERROR(__xludf.DUMMYFUNCTION("ARRAY_CONSTRAIN(ARRAYFORMULA(UNIQUE(AB2:AB33)), 3, 1)"),"AlphaMEM complete")</f>
        <v>AlphaMEM complete</v>
      </c>
      <c r="AC37" s="1">
        <f t="shared" ref="AC37:AC39" si="1">COUNTIF(AB2:AB33,AB37)</f>
        <v>15</v>
      </c>
    </row>
    <row r="38" ht="14.25" customHeight="1">
      <c r="AB38" s="1" t="str">
        <f>IFERROR(__xludf.DUMMYFUNCTION("""COMPUTED_VALUE"""),"DMEM complete")</f>
        <v>DMEM complete</v>
      </c>
      <c r="AC38" s="1">
        <f t="shared" si="1"/>
        <v>16</v>
      </c>
    </row>
    <row r="39" ht="14.25" customHeight="1">
      <c r="AB39" s="1" t="str">
        <f>IFERROR(__xludf.DUMMYFUNCTION("""COMPUTED_VALUE"""),"DMEM high glucose")</f>
        <v>DMEM high glucose</v>
      </c>
      <c r="AC39" s="1">
        <f t="shared" si="1"/>
        <v>1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8.14"/>
    <col customWidth="1" min="3" max="3" width="7.14"/>
    <col customWidth="1" min="4" max="4" width="20.43"/>
    <col customWidth="1" min="5" max="5" width="22.86"/>
    <col customWidth="1" min="6" max="6" width="4.71"/>
    <col customWidth="1" min="7" max="7" width="7.57"/>
    <col customWidth="1" min="8" max="8" width="9.43"/>
    <col customWidth="1" min="9" max="9" width="15.0"/>
    <col customWidth="1" min="10" max="10" width="17.57"/>
    <col customWidth="1" min="11" max="11" width="11.29"/>
    <col customWidth="1" min="12" max="12" width="6.57"/>
    <col customWidth="1" min="13" max="13" width="8.71"/>
    <col customWidth="1" min="14" max="14" width="9.29"/>
    <col customWidth="1" min="15" max="15" width="9.43"/>
    <col customWidth="1" min="16" max="16" width="8.71"/>
    <col customWidth="1" min="17" max="17" width="12.0"/>
    <col customWidth="1" min="18" max="26" width="8.71"/>
  </cols>
  <sheetData>
    <row r="1" ht="14.25" customHeight="1">
      <c r="A1" s="4" t="s">
        <v>0</v>
      </c>
      <c r="B1" s="4" t="s">
        <v>209</v>
      </c>
      <c r="C1" s="4" t="s">
        <v>210</v>
      </c>
      <c r="D1" s="4" t="s">
        <v>211</v>
      </c>
      <c r="E1" s="4" t="s">
        <v>212</v>
      </c>
      <c r="F1" s="4" t="s">
        <v>213</v>
      </c>
      <c r="G1" s="4" t="s">
        <v>214</v>
      </c>
      <c r="H1" s="4" t="s">
        <v>215</v>
      </c>
      <c r="I1" s="4" t="s">
        <v>216</v>
      </c>
      <c r="J1" s="4" t="s">
        <v>217</v>
      </c>
      <c r="K1" s="4" t="s">
        <v>218</v>
      </c>
      <c r="L1" s="4" t="s">
        <v>219</v>
      </c>
      <c r="M1" s="1" t="s">
        <v>220</v>
      </c>
      <c r="N1" s="1" t="s">
        <v>221</v>
      </c>
      <c r="O1" s="1" t="s">
        <v>0</v>
      </c>
      <c r="P1" s="1" t="s">
        <v>222</v>
      </c>
      <c r="Q1" s="1" t="s">
        <v>218</v>
      </c>
      <c r="R1" s="1" t="s">
        <v>26</v>
      </c>
    </row>
    <row r="2" ht="14.25" customHeight="1">
      <c r="A2" s="4" t="s">
        <v>32</v>
      </c>
      <c r="B2" s="4">
        <v>4.0</v>
      </c>
      <c r="C2" s="4">
        <v>5.0</v>
      </c>
      <c r="D2" s="4" t="s">
        <v>223</v>
      </c>
      <c r="E2" s="4" t="s">
        <v>224</v>
      </c>
      <c r="F2" s="4" t="s">
        <v>225</v>
      </c>
      <c r="G2" s="4">
        <v>2.0</v>
      </c>
      <c r="H2" s="4" t="s">
        <v>226</v>
      </c>
      <c r="I2" s="4" t="s">
        <v>227</v>
      </c>
      <c r="J2" s="4" t="s">
        <v>228</v>
      </c>
      <c r="K2" s="4"/>
      <c r="L2" s="4">
        <v>1.0</v>
      </c>
      <c r="O2" s="1" t="s">
        <v>32</v>
      </c>
      <c r="P2" s="1" t="s">
        <v>228</v>
      </c>
      <c r="R2" s="1">
        <v>1.0</v>
      </c>
    </row>
    <row r="3" ht="14.25" customHeight="1">
      <c r="A3" s="4" t="s">
        <v>32</v>
      </c>
      <c r="B3" s="4">
        <v>4.0</v>
      </c>
      <c r="C3" s="4">
        <v>1.0</v>
      </c>
      <c r="D3" s="4" t="s">
        <v>223</v>
      </c>
      <c r="E3" s="4" t="s">
        <v>229</v>
      </c>
      <c r="F3" s="4" t="s">
        <v>225</v>
      </c>
      <c r="G3" s="4">
        <v>2.0</v>
      </c>
      <c r="H3" s="4" t="s">
        <v>226</v>
      </c>
      <c r="I3" s="4" t="s">
        <v>227</v>
      </c>
      <c r="J3" s="4" t="s">
        <v>228</v>
      </c>
      <c r="K3" s="4"/>
      <c r="L3" s="4">
        <v>1.0</v>
      </c>
      <c r="O3" s="1" t="s">
        <v>44</v>
      </c>
      <c r="P3" s="1" t="s">
        <v>230</v>
      </c>
      <c r="R3" s="1">
        <v>1.0</v>
      </c>
    </row>
    <row r="4" ht="14.25" customHeight="1">
      <c r="A4" s="4" t="s">
        <v>44</v>
      </c>
      <c r="B4" s="4">
        <v>1.0</v>
      </c>
      <c r="C4" s="4">
        <v>9.0</v>
      </c>
      <c r="D4" s="4" t="s">
        <v>231</v>
      </c>
      <c r="E4" s="4" t="s">
        <v>224</v>
      </c>
      <c r="F4" s="4" t="s">
        <v>225</v>
      </c>
      <c r="G4" s="4">
        <v>1.0</v>
      </c>
      <c r="H4" s="4" t="s">
        <v>226</v>
      </c>
      <c r="I4" s="4" t="s">
        <v>227</v>
      </c>
      <c r="J4" s="4" t="s">
        <v>230</v>
      </c>
      <c r="K4" s="4"/>
      <c r="L4" s="4">
        <v>1.0</v>
      </c>
      <c r="O4" s="1" t="s">
        <v>50</v>
      </c>
      <c r="P4" s="1" t="s">
        <v>230</v>
      </c>
      <c r="Q4" s="1" t="s">
        <v>232</v>
      </c>
      <c r="R4" s="1">
        <v>1.0</v>
      </c>
    </row>
    <row r="5" ht="14.25" customHeight="1">
      <c r="A5" s="4" t="s">
        <v>44</v>
      </c>
      <c r="B5" s="4">
        <v>1.0</v>
      </c>
      <c r="C5" s="4">
        <v>2.0</v>
      </c>
      <c r="D5" s="4" t="s">
        <v>231</v>
      </c>
      <c r="E5" s="4" t="s">
        <v>229</v>
      </c>
      <c r="F5" s="4" t="s">
        <v>225</v>
      </c>
      <c r="G5" s="4">
        <v>1.0</v>
      </c>
      <c r="H5" s="4" t="s">
        <v>226</v>
      </c>
      <c r="I5" s="4" t="s">
        <v>227</v>
      </c>
      <c r="J5" s="4" t="s">
        <v>230</v>
      </c>
      <c r="K5" s="4"/>
      <c r="L5" s="4">
        <v>1.0</v>
      </c>
      <c r="O5" s="1" t="s">
        <v>59</v>
      </c>
      <c r="P5" s="1" t="s">
        <v>228</v>
      </c>
      <c r="R5" s="1">
        <v>1.0</v>
      </c>
    </row>
    <row r="6" ht="14.25" customHeight="1">
      <c r="A6" s="4" t="s">
        <v>44</v>
      </c>
      <c r="B6" s="4">
        <v>2.0</v>
      </c>
      <c r="C6" s="4">
        <v>2.0</v>
      </c>
      <c r="D6" s="4" t="s">
        <v>231</v>
      </c>
      <c r="E6" s="4" t="s">
        <v>229</v>
      </c>
      <c r="F6" s="4" t="s">
        <v>225</v>
      </c>
      <c r="G6" s="4">
        <v>1.0</v>
      </c>
      <c r="H6" s="4" t="s">
        <v>226</v>
      </c>
      <c r="I6" s="4" t="s">
        <v>227</v>
      </c>
      <c r="J6" s="4" t="s">
        <v>230</v>
      </c>
      <c r="K6" s="4"/>
      <c r="L6" s="4">
        <v>1.0</v>
      </c>
      <c r="O6" s="1" t="s">
        <v>67</v>
      </c>
      <c r="P6" s="1" t="s">
        <v>233</v>
      </c>
      <c r="Q6" s="1" t="s">
        <v>232</v>
      </c>
      <c r="R6" s="1">
        <v>1.0</v>
      </c>
    </row>
    <row r="7" ht="14.25" customHeight="1">
      <c r="A7" s="4" t="s">
        <v>50</v>
      </c>
      <c r="B7" s="4">
        <v>9.0</v>
      </c>
      <c r="C7" s="4">
        <v>5.0</v>
      </c>
      <c r="D7" s="4" t="s">
        <v>234</v>
      </c>
      <c r="E7" s="4" t="s">
        <v>229</v>
      </c>
      <c r="F7" s="4" t="s">
        <v>225</v>
      </c>
      <c r="G7" s="4">
        <v>1.0</v>
      </c>
      <c r="H7" s="4" t="s">
        <v>226</v>
      </c>
      <c r="I7" s="4" t="s">
        <v>227</v>
      </c>
      <c r="J7" s="4" t="s">
        <v>230</v>
      </c>
      <c r="K7" s="4" t="s">
        <v>232</v>
      </c>
      <c r="L7" s="4">
        <v>1.0</v>
      </c>
      <c r="O7" s="1" t="s">
        <v>77</v>
      </c>
      <c r="P7" s="1" t="s">
        <v>230</v>
      </c>
      <c r="Q7" s="1" t="s">
        <v>232</v>
      </c>
      <c r="R7" s="1">
        <v>1.0</v>
      </c>
    </row>
    <row r="8" ht="14.25" customHeight="1">
      <c r="A8" s="5" t="s">
        <v>50</v>
      </c>
      <c r="B8" s="5">
        <v>1.0</v>
      </c>
      <c r="C8" s="5">
        <v>4.0</v>
      </c>
      <c r="D8" s="5" t="s">
        <v>235</v>
      </c>
      <c r="E8" s="5" t="s">
        <v>236</v>
      </c>
      <c r="F8" s="5" t="s">
        <v>225</v>
      </c>
      <c r="G8" s="5">
        <v>2.0</v>
      </c>
      <c r="H8" s="5" t="s">
        <v>226</v>
      </c>
      <c r="I8" s="5" t="s">
        <v>227</v>
      </c>
      <c r="J8" s="5" t="s">
        <v>228</v>
      </c>
      <c r="K8" s="5" t="s">
        <v>232</v>
      </c>
      <c r="L8" s="5">
        <v>1.0</v>
      </c>
      <c r="O8" s="1" t="s">
        <v>83</v>
      </c>
      <c r="P8" s="1" t="s">
        <v>230</v>
      </c>
      <c r="Q8" s="1" t="s">
        <v>232</v>
      </c>
      <c r="R8" s="1">
        <v>1.0</v>
      </c>
    </row>
    <row r="9" ht="14.25" customHeight="1">
      <c r="A9" s="5" t="s">
        <v>50</v>
      </c>
      <c r="B9" s="5">
        <v>1.0</v>
      </c>
      <c r="C9" s="5">
        <v>8.0</v>
      </c>
      <c r="D9" s="5" t="s">
        <v>235</v>
      </c>
      <c r="E9" s="5" t="s">
        <v>236</v>
      </c>
      <c r="F9" s="5" t="s">
        <v>225</v>
      </c>
      <c r="G9" s="5">
        <v>2.0</v>
      </c>
      <c r="H9" s="5" t="s">
        <v>226</v>
      </c>
      <c r="I9" s="5" t="s">
        <v>227</v>
      </c>
      <c r="J9" s="5" t="s">
        <v>228</v>
      </c>
      <c r="K9" s="5" t="s">
        <v>232</v>
      </c>
      <c r="L9" s="5">
        <v>1.0</v>
      </c>
      <c r="O9" s="1" t="s">
        <v>89</v>
      </c>
      <c r="P9" s="1" t="s">
        <v>230</v>
      </c>
      <c r="Q9" s="1" t="s">
        <v>232</v>
      </c>
      <c r="R9" s="1">
        <v>1.0</v>
      </c>
    </row>
    <row r="10" ht="14.25" customHeight="1">
      <c r="A10" s="4" t="s">
        <v>59</v>
      </c>
      <c r="B10" s="4">
        <v>10.0</v>
      </c>
      <c r="C10" s="4">
        <v>9.0</v>
      </c>
      <c r="D10" s="4" t="s">
        <v>237</v>
      </c>
      <c r="E10" s="4" t="s">
        <v>224</v>
      </c>
      <c r="F10" s="4" t="s">
        <v>225</v>
      </c>
      <c r="G10" s="4">
        <v>2.0</v>
      </c>
      <c r="H10" s="4" t="s">
        <v>226</v>
      </c>
      <c r="I10" s="4" t="s">
        <v>227</v>
      </c>
      <c r="J10" s="4" t="s">
        <v>228</v>
      </c>
      <c r="K10" s="4"/>
      <c r="L10" s="4">
        <v>1.0</v>
      </c>
      <c r="O10" s="1" t="s">
        <v>97</v>
      </c>
      <c r="P10" s="1" t="s">
        <v>238</v>
      </c>
      <c r="Q10" s="1" t="s">
        <v>232</v>
      </c>
      <c r="R10" s="1">
        <v>1.0</v>
      </c>
    </row>
    <row r="11" ht="14.25" customHeight="1">
      <c r="A11" s="4" t="s">
        <v>59</v>
      </c>
      <c r="B11" s="4">
        <v>3.0</v>
      </c>
      <c r="C11" s="4">
        <v>1.0</v>
      </c>
      <c r="D11" s="4" t="s">
        <v>237</v>
      </c>
      <c r="E11" s="4" t="s">
        <v>239</v>
      </c>
      <c r="F11" s="4" t="s">
        <v>225</v>
      </c>
      <c r="G11" s="4">
        <v>2.0</v>
      </c>
      <c r="H11" s="4" t="s">
        <v>226</v>
      </c>
      <c r="I11" s="4" t="s">
        <v>227</v>
      </c>
      <c r="J11" s="4" t="s">
        <v>228</v>
      </c>
      <c r="K11" s="4"/>
      <c r="L11" s="4">
        <v>1.0</v>
      </c>
      <c r="O11" s="1" t="s">
        <v>103</v>
      </c>
      <c r="P11" s="1" t="s">
        <v>238</v>
      </c>
      <c r="R11" s="1">
        <v>1.0</v>
      </c>
    </row>
    <row r="12" ht="14.25" customHeight="1">
      <c r="A12" s="4" t="s">
        <v>67</v>
      </c>
      <c r="B12" s="4">
        <v>1.0</v>
      </c>
      <c r="C12" s="4">
        <v>6.0</v>
      </c>
      <c r="D12" s="4" t="s">
        <v>240</v>
      </c>
      <c r="E12" s="4" t="s">
        <v>241</v>
      </c>
      <c r="F12" s="4">
        <v>-80.0</v>
      </c>
      <c r="G12" s="4">
        <v>4.0</v>
      </c>
      <c r="H12" s="4" t="s">
        <v>226</v>
      </c>
      <c r="I12" s="4" t="s">
        <v>227</v>
      </c>
      <c r="J12" s="4" t="s">
        <v>233</v>
      </c>
      <c r="K12" s="4" t="s">
        <v>232</v>
      </c>
      <c r="L12" s="4">
        <v>1.0</v>
      </c>
      <c r="O12" s="1" t="s">
        <v>109</v>
      </c>
      <c r="P12" s="1" t="s">
        <v>230</v>
      </c>
      <c r="R12" s="1">
        <v>1.0</v>
      </c>
    </row>
    <row r="13" ht="14.25" customHeight="1">
      <c r="A13" s="4" t="s">
        <v>77</v>
      </c>
      <c r="B13" s="4">
        <v>5.0</v>
      </c>
      <c r="C13" s="4">
        <v>2.0</v>
      </c>
      <c r="D13" s="4" t="s">
        <v>242</v>
      </c>
      <c r="E13" s="4" t="s">
        <v>243</v>
      </c>
      <c r="F13" s="4" t="s">
        <v>225</v>
      </c>
      <c r="G13" s="4">
        <v>1.0</v>
      </c>
      <c r="H13" s="4" t="s">
        <v>226</v>
      </c>
      <c r="I13" s="4" t="s">
        <v>227</v>
      </c>
      <c r="J13" s="4" t="s">
        <v>230</v>
      </c>
      <c r="K13" s="4" t="s">
        <v>232</v>
      </c>
      <c r="L13" s="4">
        <v>1.0</v>
      </c>
      <c r="O13" s="1" t="s">
        <v>115</v>
      </c>
      <c r="P13" s="1" t="s">
        <v>230</v>
      </c>
      <c r="R13" s="1">
        <v>1.0</v>
      </c>
    </row>
    <row r="14" ht="14.25" customHeight="1">
      <c r="A14" s="4" t="s">
        <v>83</v>
      </c>
      <c r="B14" s="4">
        <v>4.0</v>
      </c>
      <c r="C14" s="4">
        <v>3.0</v>
      </c>
      <c r="D14" s="4" t="s">
        <v>244</v>
      </c>
      <c r="E14" s="4" t="s">
        <v>245</v>
      </c>
      <c r="F14" s="4" t="s">
        <v>225</v>
      </c>
      <c r="G14" s="4">
        <v>1.0</v>
      </c>
      <c r="H14" s="4" t="s">
        <v>226</v>
      </c>
      <c r="I14" s="4" t="s">
        <v>227</v>
      </c>
      <c r="J14" s="4" t="s">
        <v>230</v>
      </c>
      <c r="K14" s="4" t="s">
        <v>232</v>
      </c>
      <c r="L14" s="4">
        <v>1.0</v>
      </c>
      <c r="O14" s="1" t="s">
        <v>121</v>
      </c>
      <c r="P14" s="1" t="s">
        <v>228</v>
      </c>
      <c r="R14" s="1">
        <v>2.0</v>
      </c>
    </row>
    <row r="15" ht="14.25" customHeight="1">
      <c r="A15" s="4" t="s">
        <v>89</v>
      </c>
      <c r="B15" s="4">
        <v>6.0</v>
      </c>
      <c r="C15" s="4">
        <v>4.0</v>
      </c>
      <c r="D15" s="4" t="s">
        <v>246</v>
      </c>
      <c r="E15" s="4" t="s">
        <v>245</v>
      </c>
      <c r="F15" s="4" t="s">
        <v>225</v>
      </c>
      <c r="G15" s="4">
        <v>1.0</v>
      </c>
      <c r="H15" s="4" t="s">
        <v>226</v>
      </c>
      <c r="I15" s="4" t="s">
        <v>227</v>
      </c>
      <c r="J15" s="4" t="s">
        <v>230</v>
      </c>
      <c r="K15" s="4" t="s">
        <v>232</v>
      </c>
      <c r="L15" s="4">
        <v>1.0</v>
      </c>
      <c r="O15" s="1" t="s">
        <v>127</v>
      </c>
      <c r="P15" s="1" t="s">
        <v>247</v>
      </c>
      <c r="R15" s="2">
        <v>2.0</v>
      </c>
    </row>
    <row r="16" ht="14.25" customHeight="1">
      <c r="A16" s="4" t="s">
        <v>97</v>
      </c>
      <c r="B16" s="4">
        <v>6.0</v>
      </c>
      <c r="C16" s="4">
        <v>6.0</v>
      </c>
      <c r="D16" s="4" t="s">
        <v>248</v>
      </c>
      <c r="E16" s="4" t="s">
        <v>245</v>
      </c>
      <c r="F16" s="4" t="s">
        <v>225</v>
      </c>
      <c r="G16" s="4">
        <v>0.0</v>
      </c>
      <c r="H16" s="4" t="s">
        <v>226</v>
      </c>
      <c r="I16" s="4" t="s">
        <v>227</v>
      </c>
      <c r="J16" s="4" t="s">
        <v>238</v>
      </c>
      <c r="K16" s="4" t="s">
        <v>232</v>
      </c>
      <c r="L16" s="4">
        <v>1.0</v>
      </c>
      <c r="O16" s="1" t="s">
        <v>130</v>
      </c>
      <c r="P16" s="1" t="s">
        <v>230</v>
      </c>
      <c r="R16" s="1">
        <v>2.0</v>
      </c>
    </row>
    <row r="17" ht="14.25" customHeight="1">
      <c r="A17" s="4" t="s">
        <v>103</v>
      </c>
      <c r="B17" s="4">
        <v>5.0</v>
      </c>
      <c r="C17" s="4">
        <v>7.0</v>
      </c>
      <c r="D17" s="4" t="s">
        <v>249</v>
      </c>
      <c r="E17" s="4" t="s">
        <v>245</v>
      </c>
      <c r="F17" s="4" t="s">
        <v>225</v>
      </c>
      <c r="G17" s="4">
        <v>0.0</v>
      </c>
      <c r="H17" s="4" t="s">
        <v>226</v>
      </c>
      <c r="I17" s="4" t="s">
        <v>227</v>
      </c>
      <c r="J17" s="4" t="s">
        <v>238</v>
      </c>
      <c r="K17" s="4"/>
      <c r="L17" s="4">
        <v>1.0</v>
      </c>
      <c r="O17" s="1" t="s">
        <v>134</v>
      </c>
      <c r="P17" s="1" t="s">
        <v>228</v>
      </c>
      <c r="R17" s="1">
        <v>2.0</v>
      </c>
    </row>
    <row r="18" ht="14.25" customHeight="1">
      <c r="A18" s="4" t="s">
        <v>103</v>
      </c>
      <c r="B18" s="4">
        <v>6.0</v>
      </c>
      <c r="C18" s="4">
        <v>7.0</v>
      </c>
      <c r="D18" s="4" t="s">
        <v>249</v>
      </c>
      <c r="E18" s="4" t="s">
        <v>245</v>
      </c>
      <c r="F18" s="4" t="s">
        <v>225</v>
      </c>
      <c r="G18" s="4">
        <v>0.0</v>
      </c>
      <c r="H18" s="4" t="s">
        <v>226</v>
      </c>
      <c r="I18" s="4" t="s">
        <v>227</v>
      </c>
      <c r="J18" s="4" t="s">
        <v>238</v>
      </c>
      <c r="K18" s="4"/>
      <c r="L18" s="4">
        <v>1.0</v>
      </c>
      <c r="O18" s="1" t="s">
        <v>137</v>
      </c>
      <c r="P18" s="1" t="s">
        <v>238</v>
      </c>
      <c r="R18" s="1">
        <v>2.0</v>
      </c>
    </row>
    <row r="19" ht="14.25" customHeight="1">
      <c r="A19" s="4" t="s">
        <v>103</v>
      </c>
      <c r="B19" s="4">
        <v>8.0</v>
      </c>
      <c r="C19" s="4">
        <v>1.0</v>
      </c>
      <c r="D19" s="4" t="s">
        <v>249</v>
      </c>
      <c r="E19" s="4" t="s">
        <v>245</v>
      </c>
      <c r="F19" s="4" t="s">
        <v>225</v>
      </c>
      <c r="G19" s="4">
        <v>0.0</v>
      </c>
      <c r="H19" s="4" t="s">
        <v>226</v>
      </c>
      <c r="I19" s="4" t="s">
        <v>227</v>
      </c>
      <c r="J19" s="4" t="s">
        <v>238</v>
      </c>
      <c r="K19" s="4"/>
      <c r="L19" s="4">
        <v>1.0</v>
      </c>
      <c r="O19" s="1" t="s">
        <v>145</v>
      </c>
      <c r="P19" s="1" t="s">
        <v>228</v>
      </c>
      <c r="R19" s="1">
        <v>2.0</v>
      </c>
    </row>
    <row r="20" ht="14.25" customHeight="1">
      <c r="A20" s="4" t="s">
        <v>103</v>
      </c>
      <c r="B20" s="4">
        <v>8.0</v>
      </c>
      <c r="C20" s="4">
        <v>2.0</v>
      </c>
      <c r="D20" s="4" t="s">
        <v>249</v>
      </c>
      <c r="E20" s="4" t="s">
        <v>245</v>
      </c>
      <c r="F20" s="4" t="s">
        <v>225</v>
      </c>
      <c r="G20" s="4">
        <v>0.0</v>
      </c>
      <c r="H20" s="4" t="s">
        <v>226</v>
      </c>
      <c r="I20" s="4" t="s">
        <v>227</v>
      </c>
      <c r="J20" s="4" t="s">
        <v>238</v>
      </c>
      <c r="K20" s="4"/>
      <c r="L20" s="4">
        <v>1.0</v>
      </c>
      <c r="O20" s="1" t="s">
        <v>150</v>
      </c>
      <c r="P20" s="1" t="s">
        <v>230</v>
      </c>
      <c r="R20" s="1">
        <v>2.0</v>
      </c>
    </row>
    <row r="21" ht="14.25" customHeight="1">
      <c r="A21" s="4" t="s">
        <v>109</v>
      </c>
      <c r="B21" s="4">
        <v>6.0</v>
      </c>
      <c r="C21" s="4">
        <v>1.0</v>
      </c>
      <c r="D21" s="4" t="s">
        <v>250</v>
      </c>
      <c r="E21" s="4" t="s">
        <v>251</v>
      </c>
      <c r="F21" s="4" t="s">
        <v>225</v>
      </c>
      <c r="G21" s="4">
        <v>1.0</v>
      </c>
      <c r="H21" s="4" t="s">
        <v>226</v>
      </c>
      <c r="I21" s="4" t="s">
        <v>227</v>
      </c>
      <c r="J21" s="4" t="s">
        <v>230</v>
      </c>
      <c r="K21" s="4"/>
      <c r="L21" s="4">
        <v>1.0</v>
      </c>
      <c r="O21" s="1" t="s">
        <v>153</v>
      </c>
      <c r="P21" s="1" t="s">
        <v>238</v>
      </c>
      <c r="Q21" s="1" t="s">
        <v>232</v>
      </c>
      <c r="R21" s="1">
        <v>2.0</v>
      </c>
    </row>
    <row r="22" ht="14.25" customHeight="1">
      <c r="A22" s="4" t="s">
        <v>109</v>
      </c>
      <c r="B22" s="4">
        <v>6.0</v>
      </c>
      <c r="C22" s="4">
        <v>2.0</v>
      </c>
      <c r="D22" s="4" t="s">
        <v>250</v>
      </c>
      <c r="E22" s="4" t="s">
        <v>251</v>
      </c>
      <c r="F22" s="4" t="s">
        <v>225</v>
      </c>
      <c r="G22" s="4">
        <v>1.0</v>
      </c>
      <c r="H22" s="4" t="s">
        <v>226</v>
      </c>
      <c r="I22" s="4" t="s">
        <v>227</v>
      </c>
      <c r="J22" s="4" t="s">
        <v>230</v>
      </c>
      <c r="K22" s="4"/>
      <c r="L22" s="4">
        <v>1.0</v>
      </c>
      <c r="O22" s="1" t="s">
        <v>157</v>
      </c>
      <c r="P22" s="1" t="s">
        <v>230</v>
      </c>
      <c r="R22" s="1">
        <v>2.0</v>
      </c>
    </row>
    <row r="23" ht="14.25" customHeight="1">
      <c r="A23" s="4" t="s">
        <v>115</v>
      </c>
      <c r="B23" s="4">
        <v>4.0</v>
      </c>
      <c r="C23" s="4">
        <v>1.0</v>
      </c>
      <c r="D23" s="4" t="s">
        <v>252</v>
      </c>
      <c r="E23" s="4" t="s">
        <v>251</v>
      </c>
      <c r="F23" s="4" t="s">
        <v>225</v>
      </c>
      <c r="G23" s="4">
        <v>1.0</v>
      </c>
      <c r="H23" s="4" t="s">
        <v>226</v>
      </c>
      <c r="I23" s="4" t="s">
        <v>227</v>
      </c>
      <c r="J23" s="4" t="s">
        <v>230</v>
      </c>
      <c r="K23" s="4"/>
      <c r="L23" s="4">
        <v>1.0</v>
      </c>
      <c r="O23" s="1" t="s">
        <v>162</v>
      </c>
      <c r="P23" s="1" t="s">
        <v>230</v>
      </c>
      <c r="R23" s="1">
        <v>2.0</v>
      </c>
    </row>
    <row r="24" ht="14.25" customHeight="1">
      <c r="A24" s="4" t="s">
        <v>115</v>
      </c>
      <c r="B24" s="4">
        <v>4.0</v>
      </c>
      <c r="C24" s="4">
        <v>2.0</v>
      </c>
      <c r="D24" s="4" t="s">
        <v>252</v>
      </c>
      <c r="E24" s="4" t="s">
        <v>251</v>
      </c>
      <c r="F24" s="4" t="s">
        <v>225</v>
      </c>
      <c r="G24" s="4">
        <v>1.0</v>
      </c>
      <c r="H24" s="4" t="s">
        <v>226</v>
      </c>
      <c r="I24" s="4" t="s">
        <v>227</v>
      </c>
      <c r="J24" s="4" t="s">
        <v>230</v>
      </c>
      <c r="K24" s="4"/>
      <c r="L24" s="4">
        <v>1.0</v>
      </c>
      <c r="O24" s="1" t="s">
        <v>165</v>
      </c>
      <c r="P24" s="1" t="s">
        <v>230</v>
      </c>
      <c r="R24" s="1">
        <v>2.0</v>
      </c>
    </row>
    <row r="25" ht="14.25" customHeight="1">
      <c r="A25" s="4" t="s">
        <v>121</v>
      </c>
      <c r="B25" s="4">
        <v>3.0</v>
      </c>
      <c r="C25" s="4">
        <v>2.0</v>
      </c>
      <c r="D25" s="4" t="s">
        <v>253</v>
      </c>
      <c r="E25" s="4" t="s">
        <v>254</v>
      </c>
      <c r="F25" s="4" t="s">
        <v>225</v>
      </c>
      <c r="G25" s="4">
        <v>2.0</v>
      </c>
      <c r="H25" s="4" t="s">
        <v>226</v>
      </c>
      <c r="I25" s="4" t="s">
        <v>255</v>
      </c>
      <c r="J25" s="4" t="s">
        <v>228</v>
      </c>
      <c r="K25" s="4"/>
      <c r="L25" s="4">
        <v>2.0</v>
      </c>
      <c r="O25" s="1" t="s">
        <v>173</v>
      </c>
      <c r="P25" s="1" t="s">
        <v>228</v>
      </c>
      <c r="R25" s="1">
        <v>2.0</v>
      </c>
    </row>
    <row r="26" ht="14.25" customHeight="1">
      <c r="A26" s="4" t="s">
        <v>121</v>
      </c>
      <c r="B26" s="4">
        <v>5.0</v>
      </c>
      <c r="C26" s="4">
        <v>7.0</v>
      </c>
      <c r="D26" s="4" t="s">
        <v>256</v>
      </c>
      <c r="E26" s="4" t="s">
        <v>254</v>
      </c>
      <c r="F26" s="4" t="s">
        <v>225</v>
      </c>
      <c r="G26" s="4">
        <v>2.0</v>
      </c>
      <c r="H26" s="4" t="s">
        <v>226</v>
      </c>
      <c r="I26" s="4" t="s">
        <v>257</v>
      </c>
      <c r="J26" s="4" t="s">
        <v>228</v>
      </c>
      <c r="K26" s="4"/>
      <c r="L26" s="4">
        <v>2.0</v>
      </c>
      <c r="O26" s="1" t="s">
        <v>176</v>
      </c>
      <c r="P26" s="1" t="s">
        <v>233</v>
      </c>
      <c r="R26" s="1">
        <v>2.0</v>
      </c>
    </row>
    <row r="27" ht="14.25" customHeight="1">
      <c r="A27" s="4" t="s">
        <v>121</v>
      </c>
      <c r="B27" s="4">
        <v>5.0</v>
      </c>
      <c r="C27" s="4">
        <v>8.0</v>
      </c>
      <c r="D27" s="4" t="s">
        <v>256</v>
      </c>
      <c r="E27" s="4" t="s">
        <v>254</v>
      </c>
      <c r="F27" s="4" t="s">
        <v>225</v>
      </c>
      <c r="G27" s="4">
        <v>2.0</v>
      </c>
      <c r="H27" s="4" t="s">
        <v>226</v>
      </c>
      <c r="I27" s="4" t="s">
        <v>257</v>
      </c>
      <c r="J27" s="4" t="s">
        <v>228</v>
      </c>
      <c r="K27" s="4"/>
      <c r="L27" s="4">
        <v>2.0</v>
      </c>
      <c r="O27" s="1" t="s">
        <v>183</v>
      </c>
      <c r="P27" s="1" t="s">
        <v>247</v>
      </c>
      <c r="R27" s="1">
        <v>3.0</v>
      </c>
    </row>
    <row r="28" ht="14.25" customHeight="1">
      <c r="A28" s="5" t="s">
        <v>127</v>
      </c>
      <c r="B28" s="5">
        <v>6.0</v>
      </c>
      <c r="C28" s="5">
        <v>5.0</v>
      </c>
      <c r="D28" s="5" t="s">
        <v>258</v>
      </c>
      <c r="E28" s="5" t="s">
        <v>259</v>
      </c>
      <c r="F28" s="5" t="s">
        <v>225</v>
      </c>
      <c r="G28" s="5">
        <v>0.0</v>
      </c>
      <c r="H28" s="5" t="s">
        <v>226</v>
      </c>
      <c r="I28" s="5" t="s">
        <v>260</v>
      </c>
      <c r="J28" s="5" t="s">
        <v>238</v>
      </c>
      <c r="K28" s="5"/>
      <c r="L28" s="5">
        <v>2.0</v>
      </c>
      <c r="O28" s="1" t="s">
        <v>186</v>
      </c>
      <c r="P28" s="1" t="s">
        <v>261</v>
      </c>
      <c r="R28" s="1">
        <v>3.0</v>
      </c>
    </row>
    <row r="29" ht="14.25" customHeight="1">
      <c r="A29" s="5" t="s">
        <v>127</v>
      </c>
      <c r="B29" s="5">
        <v>2.0</v>
      </c>
      <c r="C29" s="5">
        <v>8.0</v>
      </c>
      <c r="D29" s="5" t="s">
        <v>262</v>
      </c>
      <c r="E29" s="5" t="s">
        <v>263</v>
      </c>
      <c r="F29" s="5" t="s">
        <v>225</v>
      </c>
      <c r="G29" s="5">
        <v>3.0</v>
      </c>
      <c r="H29" s="5" t="s">
        <v>226</v>
      </c>
      <c r="I29" s="5" t="s">
        <v>227</v>
      </c>
      <c r="J29" s="5" t="s">
        <v>247</v>
      </c>
      <c r="K29" s="5"/>
      <c r="L29" s="5">
        <v>2.0</v>
      </c>
      <c r="N29" s="6" t="s">
        <v>264</v>
      </c>
      <c r="O29" s="1" t="s">
        <v>190</v>
      </c>
      <c r="P29" s="1" t="s">
        <v>228</v>
      </c>
      <c r="R29" s="1">
        <v>3.0</v>
      </c>
    </row>
    <row r="30" ht="14.25" customHeight="1">
      <c r="A30" s="7" t="s">
        <v>130</v>
      </c>
      <c r="B30" s="7">
        <v>6.0</v>
      </c>
      <c r="C30" s="7">
        <v>3.0</v>
      </c>
      <c r="D30" s="7" t="s">
        <v>265</v>
      </c>
      <c r="E30" s="7" t="s">
        <v>266</v>
      </c>
      <c r="F30" s="7" t="s">
        <v>225</v>
      </c>
      <c r="G30" s="7">
        <v>4.0</v>
      </c>
      <c r="H30" s="7" t="s">
        <v>226</v>
      </c>
      <c r="I30" s="7" t="s">
        <v>227</v>
      </c>
      <c r="J30" s="7" t="s">
        <v>233</v>
      </c>
      <c r="K30" s="7"/>
      <c r="L30" s="7">
        <v>2.0</v>
      </c>
      <c r="O30" s="1" t="s">
        <v>197</v>
      </c>
      <c r="P30" s="1" t="s">
        <v>230</v>
      </c>
      <c r="R30" s="1">
        <v>3.0</v>
      </c>
    </row>
    <row r="31" ht="14.25" customHeight="1">
      <c r="A31" s="4" t="s">
        <v>134</v>
      </c>
      <c r="B31" s="4">
        <v>3.0</v>
      </c>
      <c r="C31" s="4">
        <v>2.0</v>
      </c>
      <c r="D31" s="4" t="s">
        <v>267</v>
      </c>
      <c r="E31" s="4" t="s">
        <v>229</v>
      </c>
      <c r="F31" s="4" t="s">
        <v>225</v>
      </c>
      <c r="G31" s="4">
        <v>2.0</v>
      </c>
      <c r="H31" s="4" t="s">
        <v>226</v>
      </c>
      <c r="I31" s="4" t="s">
        <v>227</v>
      </c>
      <c r="J31" s="4" t="s">
        <v>228</v>
      </c>
      <c r="K31" s="4"/>
      <c r="L31" s="4">
        <v>2.0</v>
      </c>
      <c r="O31" s="1" t="s">
        <v>200</v>
      </c>
      <c r="P31" s="1" t="s">
        <v>230</v>
      </c>
      <c r="R31" s="1">
        <v>3.0</v>
      </c>
    </row>
    <row r="32" ht="14.25" customHeight="1">
      <c r="A32" s="4" t="s">
        <v>134</v>
      </c>
      <c r="B32" s="4">
        <v>5.0</v>
      </c>
      <c r="C32" s="4">
        <v>5.0</v>
      </c>
      <c r="D32" s="4" t="s">
        <v>267</v>
      </c>
      <c r="E32" s="4" t="s">
        <v>229</v>
      </c>
      <c r="F32" s="4" t="s">
        <v>225</v>
      </c>
      <c r="G32" s="4">
        <v>2.0</v>
      </c>
      <c r="H32" s="4" t="s">
        <v>226</v>
      </c>
      <c r="I32" s="4" t="s">
        <v>227</v>
      </c>
      <c r="J32" s="4" t="s">
        <v>228</v>
      </c>
      <c r="K32" s="4"/>
      <c r="L32" s="4">
        <v>2.0</v>
      </c>
      <c r="O32" s="1" t="s">
        <v>205</v>
      </c>
      <c r="P32" s="1" t="s">
        <v>228</v>
      </c>
      <c r="R32" s="1">
        <v>3.0</v>
      </c>
    </row>
    <row r="33" ht="14.25" customHeight="1">
      <c r="A33" s="4" t="s">
        <v>137</v>
      </c>
      <c r="B33" s="4">
        <v>1.0</v>
      </c>
      <c r="C33" s="4">
        <v>5.0</v>
      </c>
      <c r="D33" s="4" t="s">
        <v>268</v>
      </c>
      <c r="E33" s="4" t="s">
        <v>243</v>
      </c>
      <c r="F33" s="4" t="s">
        <v>225</v>
      </c>
      <c r="G33" s="4">
        <v>0.0</v>
      </c>
      <c r="H33" s="4" t="s">
        <v>226</v>
      </c>
      <c r="I33" s="4" t="s">
        <v>227</v>
      </c>
      <c r="J33" s="4" t="s">
        <v>238</v>
      </c>
      <c r="K33" s="4"/>
      <c r="L33" s="4">
        <v>2.0</v>
      </c>
      <c r="O33" s="2" t="s">
        <v>170</v>
      </c>
      <c r="R33" s="2">
        <v>2.0</v>
      </c>
    </row>
    <row r="34" ht="14.25" customHeight="1">
      <c r="A34" s="4" t="s">
        <v>137</v>
      </c>
      <c r="B34" s="4">
        <v>2.0</v>
      </c>
      <c r="C34" s="4">
        <v>2.0</v>
      </c>
      <c r="D34" s="4" t="s">
        <v>268</v>
      </c>
      <c r="E34" s="4" t="s">
        <v>243</v>
      </c>
      <c r="F34" s="4" t="s">
        <v>225</v>
      </c>
      <c r="G34" s="4">
        <v>0.0</v>
      </c>
      <c r="H34" s="4" t="s">
        <v>226</v>
      </c>
      <c r="I34" s="4" t="s">
        <v>227</v>
      </c>
      <c r="J34" s="4" t="s">
        <v>238</v>
      </c>
      <c r="K34" s="4"/>
      <c r="L34" s="4">
        <v>2.0</v>
      </c>
    </row>
    <row r="35" ht="14.25" customHeight="1">
      <c r="A35" s="4" t="s">
        <v>137</v>
      </c>
      <c r="B35" s="4">
        <v>3.0</v>
      </c>
      <c r="C35" s="4">
        <v>3.0</v>
      </c>
      <c r="D35" s="4" t="s">
        <v>268</v>
      </c>
      <c r="E35" s="4" t="s">
        <v>243</v>
      </c>
      <c r="F35" s="4" t="s">
        <v>225</v>
      </c>
      <c r="G35" s="4">
        <v>0.0</v>
      </c>
      <c r="H35" s="4" t="s">
        <v>226</v>
      </c>
      <c r="I35" s="4" t="s">
        <v>227</v>
      </c>
      <c r="J35" s="4" t="s">
        <v>238</v>
      </c>
      <c r="K35" s="4"/>
      <c r="L35" s="4">
        <v>2.0</v>
      </c>
    </row>
    <row r="36" ht="14.25" customHeight="1">
      <c r="A36" s="5" t="s">
        <v>137</v>
      </c>
      <c r="B36" s="5">
        <v>7.0</v>
      </c>
      <c r="C36" s="5">
        <v>1.0</v>
      </c>
      <c r="D36" s="5" t="s">
        <v>269</v>
      </c>
      <c r="E36" s="5" t="s">
        <v>236</v>
      </c>
      <c r="F36" s="5" t="s">
        <v>225</v>
      </c>
      <c r="G36" s="5">
        <v>1.0</v>
      </c>
      <c r="H36" s="5" t="s">
        <v>226</v>
      </c>
      <c r="I36" s="5" t="s">
        <v>227</v>
      </c>
      <c r="J36" s="5" t="s">
        <v>230</v>
      </c>
      <c r="K36" s="5"/>
      <c r="L36" s="5">
        <v>2.0</v>
      </c>
    </row>
    <row r="37" ht="14.25" customHeight="1">
      <c r="A37" s="5" t="s">
        <v>137</v>
      </c>
      <c r="B37" s="5">
        <v>7.0</v>
      </c>
      <c r="C37" s="5">
        <v>6.0</v>
      </c>
      <c r="D37" s="5" t="s">
        <v>269</v>
      </c>
      <c r="E37" s="5" t="s">
        <v>236</v>
      </c>
      <c r="F37" s="5" t="s">
        <v>225</v>
      </c>
      <c r="G37" s="5">
        <v>1.0</v>
      </c>
      <c r="H37" s="5" t="s">
        <v>226</v>
      </c>
      <c r="I37" s="5" t="s">
        <v>227</v>
      </c>
      <c r="J37" s="5" t="s">
        <v>230</v>
      </c>
      <c r="K37" s="5"/>
      <c r="L37" s="5">
        <v>2.0</v>
      </c>
    </row>
    <row r="38" ht="14.25" customHeight="1">
      <c r="A38" s="4" t="s">
        <v>145</v>
      </c>
      <c r="B38" s="4">
        <v>1.0</v>
      </c>
      <c r="C38" s="4">
        <v>10.0</v>
      </c>
      <c r="D38" s="4" t="s">
        <v>270</v>
      </c>
      <c r="E38" s="4" t="s">
        <v>271</v>
      </c>
      <c r="F38" s="4" t="s">
        <v>225</v>
      </c>
      <c r="G38" s="4">
        <v>2.0</v>
      </c>
      <c r="H38" s="4" t="s">
        <v>226</v>
      </c>
      <c r="I38" s="4" t="s">
        <v>272</v>
      </c>
      <c r="J38" s="4" t="s">
        <v>228</v>
      </c>
      <c r="K38" s="4"/>
      <c r="L38" s="4">
        <v>2.0</v>
      </c>
    </row>
    <row r="39" ht="14.25" customHeight="1">
      <c r="A39" s="4" t="s">
        <v>145</v>
      </c>
      <c r="B39" s="4">
        <v>5.0</v>
      </c>
      <c r="C39" s="4">
        <v>7.0</v>
      </c>
      <c r="D39" s="4" t="s">
        <v>273</v>
      </c>
      <c r="E39" s="4" t="s">
        <v>271</v>
      </c>
      <c r="F39" s="4" t="s">
        <v>225</v>
      </c>
      <c r="G39" s="4">
        <v>2.0</v>
      </c>
      <c r="H39" s="4" t="s">
        <v>226</v>
      </c>
      <c r="I39" s="4"/>
      <c r="J39" s="4" t="s">
        <v>228</v>
      </c>
      <c r="K39" s="4"/>
      <c r="L39" s="4">
        <v>2.0</v>
      </c>
    </row>
    <row r="40" ht="14.25" customHeight="1">
      <c r="A40" s="4" t="s">
        <v>145</v>
      </c>
      <c r="B40" s="4">
        <v>6.0</v>
      </c>
      <c r="C40" s="4">
        <v>5.0</v>
      </c>
      <c r="D40" s="4" t="s">
        <v>273</v>
      </c>
      <c r="E40" s="4" t="s">
        <v>271</v>
      </c>
      <c r="F40" s="4" t="s">
        <v>225</v>
      </c>
      <c r="G40" s="4">
        <v>2.0</v>
      </c>
      <c r="H40" s="4" t="s">
        <v>226</v>
      </c>
      <c r="I40" s="4"/>
      <c r="J40" s="4" t="s">
        <v>228</v>
      </c>
      <c r="K40" s="4"/>
      <c r="L40" s="4">
        <v>2.0</v>
      </c>
    </row>
    <row r="41" ht="14.25" customHeight="1">
      <c r="A41" s="4" t="s">
        <v>150</v>
      </c>
      <c r="B41" s="4">
        <v>1.0</v>
      </c>
      <c r="C41" s="4">
        <v>6.0</v>
      </c>
      <c r="D41" s="4" t="s">
        <v>274</v>
      </c>
      <c r="E41" s="4" t="s">
        <v>251</v>
      </c>
      <c r="F41" s="4" t="s">
        <v>225</v>
      </c>
      <c r="G41" s="4">
        <v>1.0</v>
      </c>
      <c r="H41" s="4" t="s">
        <v>226</v>
      </c>
      <c r="I41" s="4" t="s">
        <v>227</v>
      </c>
      <c r="J41" s="4" t="s">
        <v>230</v>
      </c>
      <c r="K41" s="4"/>
      <c r="L41" s="4">
        <v>2.0</v>
      </c>
    </row>
    <row r="42" ht="14.25" customHeight="1">
      <c r="A42" s="4" t="s">
        <v>150</v>
      </c>
      <c r="B42" s="4">
        <v>5.0</v>
      </c>
      <c r="C42" s="4">
        <v>10.0</v>
      </c>
      <c r="D42" s="4" t="s">
        <v>274</v>
      </c>
      <c r="E42" s="4" t="s">
        <v>251</v>
      </c>
      <c r="F42" s="4" t="s">
        <v>225</v>
      </c>
      <c r="G42" s="4">
        <v>1.0</v>
      </c>
      <c r="H42" s="4" t="s">
        <v>226</v>
      </c>
      <c r="I42" s="4" t="s">
        <v>227</v>
      </c>
      <c r="J42" s="4" t="s">
        <v>230</v>
      </c>
      <c r="K42" s="4"/>
      <c r="L42" s="4">
        <v>2.0</v>
      </c>
    </row>
    <row r="43" ht="14.25" customHeight="1">
      <c r="A43" s="4" t="s">
        <v>153</v>
      </c>
      <c r="B43" s="4">
        <v>1.0</v>
      </c>
      <c r="C43" s="4">
        <v>8.0</v>
      </c>
      <c r="D43" s="4" t="s">
        <v>275</v>
      </c>
      <c r="E43" s="4" t="s">
        <v>251</v>
      </c>
      <c r="F43" s="4" t="s">
        <v>225</v>
      </c>
      <c r="G43" s="4">
        <v>0.0</v>
      </c>
      <c r="H43" s="4" t="s">
        <v>226</v>
      </c>
      <c r="I43" s="4" t="s">
        <v>227</v>
      </c>
      <c r="J43" s="4" t="s">
        <v>238</v>
      </c>
      <c r="K43" s="4" t="s">
        <v>232</v>
      </c>
      <c r="L43" s="4">
        <v>2.0</v>
      </c>
    </row>
    <row r="44" ht="14.25" customHeight="1">
      <c r="A44" s="4" t="s">
        <v>157</v>
      </c>
      <c r="B44" s="4">
        <v>2.0</v>
      </c>
      <c r="C44" s="4">
        <v>6.0</v>
      </c>
      <c r="D44" s="4" t="s">
        <v>276</v>
      </c>
      <c r="E44" s="4" t="s">
        <v>251</v>
      </c>
      <c r="F44" s="4" t="s">
        <v>225</v>
      </c>
      <c r="G44" s="4">
        <v>1.0</v>
      </c>
      <c r="H44" s="4" t="s">
        <v>226</v>
      </c>
      <c r="I44" s="4" t="s">
        <v>227</v>
      </c>
      <c r="J44" s="4" t="s">
        <v>230</v>
      </c>
      <c r="K44" s="4"/>
      <c r="L44" s="4">
        <v>2.0</v>
      </c>
    </row>
    <row r="45" ht="14.25" customHeight="1">
      <c r="A45" s="4" t="s">
        <v>157</v>
      </c>
      <c r="B45" s="4">
        <v>2.0</v>
      </c>
      <c r="C45" s="4">
        <v>7.0</v>
      </c>
      <c r="D45" s="4" t="s">
        <v>276</v>
      </c>
      <c r="E45" s="4" t="s">
        <v>251</v>
      </c>
      <c r="F45" s="4" t="s">
        <v>225</v>
      </c>
      <c r="G45" s="4">
        <v>1.0</v>
      </c>
      <c r="H45" s="4" t="s">
        <v>226</v>
      </c>
      <c r="I45" s="4" t="s">
        <v>227</v>
      </c>
      <c r="J45" s="4" t="s">
        <v>230</v>
      </c>
      <c r="K45" s="4"/>
      <c r="L45" s="4">
        <v>2.0</v>
      </c>
    </row>
    <row r="46" ht="14.25" customHeight="1">
      <c r="A46" s="4" t="s">
        <v>162</v>
      </c>
      <c r="B46" s="4">
        <v>2.0</v>
      </c>
      <c r="C46" s="4">
        <v>10.0</v>
      </c>
      <c r="D46" s="4" t="s">
        <v>277</v>
      </c>
      <c r="E46" s="4" t="s">
        <v>251</v>
      </c>
      <c r="F46" s="4" t="s">
        <v>225</v>
      </c>
      <c r="G46" s="4">
        <v>1.0</v>
      </c>
      <c r="H46" s="4" t="s">
        <v>226</v>
      </c>
      <c r="I46" s="4" t="s">
        <v>227</v>
      </c>
      <c r="J46" s="4" t="s">
        <v>230</v>
      </c>
      <c r="K46" s="4"/>
      <c r="L46" s="4">
        <v>2.0</v>
      </c>
    </row>
    <row r="47" ht="14.25" customHeight="1">
      <c r="A47" s="4" t="s">
        <v>162</v>
      </c>
      <c r="B47" s="4">
        <v>3.0</v>
      </c>
      <c r="C47" s="4">
        <v>10.0</v>
      </c>
      <c r="D47" s="4" t="s">
        <v>277</v>
      </c>
      <c r="E47" s="4" t="s">
        <v>251</v>
      </c>
      <c r="F47" s="4" t="s">
        <v>225</v>
      </c>
      <c r="G47" s="4">
        <v>1.0</v>
      </c>
      <c r="H47" s="4" t="s">
        <v>226</v>
      </c>
      <c r="I47" s="4" t="s">
        <v>227</v>
      </c>
      <c r="J47" s="4" t="s">
        <v>230</v>
      </c>
      <c r="K47" s="4"/>
      <c r="L47" s="4">
        <v>2.0</v>
      </c>
    </row>
    <row r="48" ht="14.25" customHeight="1">
      <c r="A48" s="4" t="s">
        <v>165</v>
      </c>
      <c r="B48" s="4">
        <v>9.0</v>
      </c>
      <c r="C48" s="4">
        <v>5.0</v>
      </c>
      <c r="D48" s="4" t="s">
        <v>278</v>
      </c>
      <c r="E48" s="4" t="s">
        <v>251</v>
      </c>
      <c r="F48" s="4" t="s">
        <v>225</v>
      </c>
      <c r="G48" s="4">
        <v>1.0</v>
      </c>
      <c r="H48" s="4" t="s">
        <v>226</v>
      </c>
      <c r="I48" s="4" t="s">
        <v>227</v>
      </c>
      <c r="J48" s="4" t="s">
        <v>230</v>
      </c>
      <c r="K48" s="4"/>
      <c r="L48" s="4">
        <v>2.0</v>
      </c>
    </row>
    <row r="49" ht="14.25" customHeight="1">
      <c r="A49" s="4" t="s">
        <v>165</v>
      </c>
      <c r="B49" s="4">
        <v>10.0</v>
      </c>
      <c r="C49" s="4">
        <v>3.0</v>
      </c>
      <c r="D49" s="4" t="s">
        <v>278</v>
      </c>
      <c r="E49" s="4" t="s">
        <v>251</v>
      </c>
      <c r="F49" s="4" t="s">
        <v>225</v>
      </c>
      <c r="G49" s="4">
        <v>1.0</v>
      </c>
      <c r="H49" s="4" t="s">
        <v>226</v>
      </c>
      <c r="I49" s="4" t="s">
        <v>227</v>
      </c>
      <c r="J49" s="4" t="s">
        <v>230</v>
      </c>
      <c r="K49" s="4"/>
      <c r="L49" s="4">
        <v>2.0</v>
      </c>
    </row>
    <row r="50" ht="14.25" customHeight="1">
      <c r="A50" s="4" t="s">
        <v>173</v>
      </c>
      <c r="B50" s="4">
        <v>2.0</v>
      </c>
      <c r="C50" s="4">
        <v>5.0</v>
      </c>
      <c r="D50" s="4" t="s">
        <v>279</v>
      </c>
      <c r="E50" s="4" t="s">
        <v>266</v>
      </c>
      <c r="F50" s="4" t="s">
        <v>225</v>
      </c>
      <c r="G50" s="4">
        <v>2.0</v>
      </c>
      <c r="H50" s="4" t="s">
        <v>226</v>
      </c>
      <c r="I50" s="4"/>
      <c r="J50" s="4" t="s">
        <v>228</v>
      </c>
      <c r="K50" s="4"/>
      <c r="L50" s="4">
        <v>2.0</v>
      </c>
    </row>
    <row r="51" ht="14.25" customHeight="1">
      <c r="A51" s="4" t="s">
        <v>176</v>
      </c>
      <c r="B51" s="4">
        <v>7.0</v>
      </c>
      <c r="C51" s="4">
        <v>2.0</v>
      </c>
      <c r="D51" s="4" t="s">
        <v>280</v>
      </c>
      <c r="E51" s="4" t="s">
        <v>243</v>
      </c>
      <c r="F51" s="4" t="s">
        <v>225</v>
      </c>
      <c r="G51" s="4">
        <v>4.0</v>
      </c>
      <c r="H51" s="4" t="s">
        <v>226</v>
      </c>
      <c r="I51" s="4" t="s">
        <v>227</v>
      </c>
      <c r="J51" s="4" t="s">
        <v>233</v>
      </c>
      <c r="K51" s="4"/>
      <c r="L51" s="4">
        <v>2.0</v>
      </c>
    </row>
    <row r="52" ht="14.25" customHeight="1">
      <c r="A52" s="4" t="s">
        <v>183</v>
      </c>
      <c r="B52" s="4">
        <v>7.0</v>
      </c>
      <c r="C52" s="4">
        <v>2.0</v>
      </c>
      <c r="D52" s="4" t="s">
        <v>281</v>
      </c>
      <c r="E52" s="4" t="s">
        <v>254</v>
      </c>
      <c r="F52" s="4" t="s">
        <v>225</v>
      </c>
      <c r="G52" s="4">
        <v>3.0</v>
      </c>
      <c r="H52" s="4" t="s">
        <v>226</v>
      </c>
      <c r="I52" s="4" t="s">
        <v>227</v>
      </c>
      <c r="J52" s="4" t="s">
        <v>247</v>
      </c>
      <c r="K52" s="4"/>
      <c r="L52" s="4">
        <v>3.0</v>
      </c>
    </row>
    <row r="53" ht="14.25" customHeight="1">
      <c r="A53" s="4" t="s">
        <v>183</v>
      </c>
      <c r="B53" s="4">
        <v>7.0</v>
      </c>
      <c r="C53" s="4">
        <v>3.0</v>
      </c>
      <c r="D53" s="4" t="s">
        <v>281</v>
      </c>
      <c r="E53" s="4" t="s">
        <v>254</v>
      </c>
      <c r="F53" s="4" t="s">
        <v>225</v>
      </c>
      <c r="G53" s="4">
        <v>3.0</v>
      </c>
      <c r="H53" s="4" t="s">
        <v>226</v>
      </c>
      <c r="I53" s="4" t="s">
        <v>227</v>
      </c>
      <c r="J53" s="4" t="s">
        <v>247</v>
      </c>
      <c r="K53" s="4"/>
      <c r="L53" s="4">
        <v>3.0</v>
      </c>
    </row>
    <row r="54" ht="14.25" customHeight="1">
      <c r="A54" s="4" t="s">
        <v>186</v>
      </c>
      <c r="B54" s="4">
        <v>5.0</v>
      </c>
      <c r="C54" s="4">
        <v>9.0</v>
      </c>
      <c r="D54" s="4" t="s">
        <v>282</v>
      </c>
      <c r="E54" s="4" t="s">
        <v>283</v>
      </c>
      <c r="F54" s="4" t="s">
        <v>225</v>
      </c>
      <c r="G54" s="4">
        <v>0.0</v>
      </c>
      <c r="H54" s="4" t="s">
        <v>226</v>
      </c>
      <c r="I54" s="4" t="s">
        <v>284</v>
      </c>
      <c r="J54" s="4" t="s">
        <v>238</v>
      </c>
      <c r="K54" s="4"/>
      <c r="L54" s="4">
        <v>3.0</v>
      </c>
    </row>
    <row r="55" ht="14.25" customHeight="1">
      <c r="A55" s="4" t="s">
        <v>186</v>
      </c>
      <c r="B55" s="4">
        <v>6.0</v>
      </c>
      <c r="C55" s="4">
        <v>9.0</v>
      </c>
      <c r="D55" s="4" t="s">
        <v>186</v>
      </c>
      <c r="E55" s="4" t="s">
        <v>285</v>
      </c>
      <c r="F55" s="4" t="s">
        <v>225</v>
      </c>
      <c r="G55" s="4">
        <v>0.0</v>
      </c>
      <c r="H55" s="4" t="s">
        <v>286</v>
      </c>
      <c r="I55" s="4"/>
      <c r="J55" s="4" t="s">
        <v>287</v>
      </c>
      <c r="K55" s="4"/>
      <c r="L55" s="4">
        <v>3.0</v>
      </c>
    </row>
    <row r="56" ht="14.25" customHeight="1">
      <c r="A56" s="4" t="s">
        <v>186</v>
      </c>
      <c r="B56" s="4">
        <v>1.0</v>
      </c>
      <c r="C56" s="4">
        <v>1.0</v>
      </c>
      <c r="D56" s="4" t="s">
        <v>186</v>
      </c>
      <c r="E56" s="4" t="s">
        <v>266</v>
      </c>
      <c r="F56" s="4" t="s">
        <v>225</v>
      </c>
      <c r="G56" s="4">
        <v>0.0</v>
      </c>
      <c r="H56" s="4" t="s">
        <v>286</v>
      </c>
      <c r="I56" s="4"/>
      <c r="J56" s="4" t="s">
        <v>287</v>
      </c>
      <c r="K56" s="4"/>
      <c r="L56" s="4">
        <v>3.0</v>
      </c>
    </row>
    <row r="57" ht="14.25" customHeight="1">
      <c r="A57" s="4" t="s">
        <v>186</v>
      </c>
      <c r="B57" s="4">
        <v>1.0</v>
      </c>
      <c r="C57" s="4">
        <v>2.0</v>
      </c>
      <c r="D57" s="4" t="s">
        <v>186</v>
      </c>
      <c r="E57" s="4" t="s">
        <v>266</v>
      </c>
      <c r="F57" s="4" t="s">
        <v>225</v>
      </c>
      <c r="G57" s="4">
        <v>0.0</v>
      </c>
      <c r="H57" s="4" t="s">
        <v>286</v>
      </c>
      <c r="I57" s="4"/>
      <c r="J57" s="4" t="s">
        <v>287</v>
      </c>
      <c r="K57" s="4"/>
      <c r="L57" s="4">
        <v>3.0</v>
      </c>
    </row>
    <row r="58" ht="14.25" customHeight="1">
      <c r="A58" s="4" t="s">
        <v>186</v>
      </c>
      <c r="B58" s="4">
        <v>1.0</v>
      </c>
      <c r="C58" s="4">
        <v>5.0</v>
      </c>
      <c r="D58" s="4" t="s">
        <v>288</v>
      </c>
      <c r="E58" s="4" t="s">
        <v>266</v>
      </c>
      <c r="F58" s="4" t="s">
        <v>225</v>
      </c>
      <c r="G58" s="4">
        <v>0.0</v>
      </c>
      <c r="H58" s="4" t="s">
        <v>286</v>
      </c>
      <c r="I58" s="4" t="s">
        <v>289</v>
      </c>
      <c r="J58" s="4" t="s">
        <v>287</v>
      </c>
      <c r="K58" s="4"/>
      <c r="L58" s="4">
        <v>3.0</v>
      </c>
    </row>
    <row r="59" ht="14.25" customHeight="1">
      <c r="A59" s="4" t="s">
        <v>190</v>
      </c>
      <c r="B59" s="4">
        <v>4.0</v>
      </c>
      <c r="C59" s="4">
        <v>5.0</v>
      </c>
      <c r="D59" s="4" t="s">
        <v>290</v>
      </c>
      <c r="E59" s="4" t="s">
        <v>229</v>
      </c>
      <c r="F59" s="4" t="s">
        <v>225</v>
      </c>
      <c r="G59" s="4">
        <v>2.0</v>
      </c>
      <c r="H59" s="4" t="s">
        <v>226</v>
      </c>
      <c r="I59" s="4" t="s">
        <v>291</v>
      </c>
      <c r="J59" s="4" t="s">
        <v>228</v>
      </c>
      <c r="K59" s="4"/>
      <c r="L59" s="4">
        <v>3.0</v>
      </c>
    </row>
    <row r="60" ht="14.25" customHeight="1">
      <c r="A60" s="4" t="s">
        <v>197</v>
      </c>
      <c r="B60" s="4">
        <v>1.0</v>
      </c>
      <c r="C60" s="4">
        <v>3.0</v>
      </c>
      <c r="D60" s="4" t="s">
        <v>292</v>
      </c>
      <c r="E60" s="4" t="s">
        <v>245</v>
      </c>
      <c r="F60" s="4" t="s">
        <v>225</v>
      </c>
      <c r="G60" s="4">
        <v>1.0</v>
      </c>
      <c r="H60" s="4" t="s">
        <v>226</v>
      </c>
      <c r="I60" s="4" t="s">
        <v>227</v>
      </c>
      <c r="J60" s="4" t="s">
        <v>230</v>
      </c>
      <c r="K60" s="4"/>
      <c r="L60" s="4">
        <v>3.0</v>
      </c>
    </row>
    <row r="61" ht="14.25" customHeight="1">
      <c r="A61" s="4" t="s">
        <v>197</v>
      </c>
      <c r="B61" s="4">
        <v>1.0</v>
      </c>
      <c r="C61" s="4">
        <v>6.0</v>
      </c>
      <c r="D61" s="4" t="s">
        <v>292</v>
      </c>
      <c r="E61" s="4" t="s">
        <v>245</v>
      </c>
      <c r="F61" s="4" t="s">
        <v>225</v>
      </c>
      <c r="G61" s="4">
        <v>1.0</v>
      </c>
      <c r="H61" s="4" t="s">
        <v>226</v>
      </c>
      <c r="I61" s="4" t="s">
        <v>227</v>
      </c>
      <c r="J61" s="4" t="s">
        <v>230</v>
      </c>
      <c r="K61" s="4"/>
      <c r="L61" s="4">
        <v>3.0</v>
      </c>
    </row>
    <row r="62" ht="14.25" customHeight="1">
      <c r="A62" s="4" t="s">
        <v>200</v>
      </c>
      <c r="B62" s="4">
        <v>5.0</v>
      </c>
      <c r="C62" s="4">
        <v>3.0</v>
      </c>
      <c r="D62" s="4" t="s">
        <v>293</v>
      </c>
      <c r="E62" s="4" t="s">
        <v>243</v>
      </c>
      <c r="F62" s="4" t="s">
        <v>225</v>
      </c>
      <c r="G62" s="4">
        <v>1.0</v>
      </c>
      <c r="H62" s="4" t="s">
        <v>226</v>
      </c>
      <c r="I62" s="4" t="s">
        <v>227</v>
      </c>
      <c r="J62" s="4" t="s">
        <v>230</v>
      </c>
      <c r="K62" s="4"/>
      <c r="L62" s="4">
        <v>3.0</v>
      </c>
    </row>
    <row r="63" ht="14.25" customHeight="1">
      <c r="A63" s="4" t="s">
        <v>200</v>
      </c>
      <c r="B63" s="4">
        <v>5.0</v>
      </c>
      <c r="C63" s="4">
        <v>4.0</v>
      </c>
      <c r="D63" s="4" t="s">
        <v>293</v>
      </c>
      <c r="E63" s="4" t="s">
        <v>243</v>
      </c>
      <c r="F63" s="4" t="s">
        <v>225</v>
      </c>
      <c r="G63" s="4">
        <v>1.0</v>
      </c>
      <c r="H63" s="4" t="s">
        <v>226</v>
      </c>
      <c r="I63" s="4" t="s">
        <v>227</v>
      </c>
      <c r="J63" s="4" t="s">
        <v>230</v>
      </c>
      <c r="K63" s="4"/>
      <c r="L63" s="4">
        <v>3.0</v>
      </c>
    </row>
    <row r="64" ht="14.25" customHeight="1">
      <c r="A64" s="4" t="s">
        <v>200</v>
      </c>
      <c r="B64" s="4">
        <v>5.0</v>
      </c>
      <c r="C64" s="4">
        <v>5.0</v>
      </c>
      <c r="D64" s="4" t="s">
        <v>293</v>
      </c>
      <c r="E64" s="4" t="s">
        <v>243</v>
      </c>
      <c r="F64" s="4" t="s">
        <v>225</v>
      </c>
      <c r="G64" s="4">
        <v>1.0</v>
      </c>
      <c r="H64" s="4" t="s">
        <v>226</v>
      </c>
      <c r="I64" s="4" t="s">
        <v>227</v>
      </c>
      <c r="J64" s="4" t="s">
        <v>230</v>
      </c>
      <c r="K64" s="4"/>
      <c r="L64" s="4">
        <v>3.0</v>
      </c>
    </row>
    <row r="65" ht="14.25" customHeight="1">
      <c r="A65" s="4" t="s">
        <v>200</v>
      </c>
      <c r="B65" s="4">
        <v>5.0</v>
      </c>
      <c r="C65" s="4">
        <v>6.0</v>
      </c>
      <c r="D65" s="4" t="s">
        <v>293</v>
      </c>
      <c r="E65" s="4" t="s">
        <v>243</v>
      </c>
      <c r="F65" s="4" t="s">
        <v>225</v>
      </c>
      <c r="G65" s="4">
        <v>1.0</v>
      </c>
      <c r="H65" s="4" t="s">
        <v>226</v>
      </c>
      <c r="I65" s="4" t="s">
        <v>227</v>
      </c>
      <c r="J65" s="4" t="s">
        <v>230</v>
      </c>
      <c r="K65" s="4"/>
      <c r="L65" s="4">
        <v>3.0</v>
      </c>
    </row>
    <row r="66" ht="14.25" customHeight="1">
      <c r="A66" s="4" t="s">
        <v>200</v>
      </c>
      <c r="B66" s="4">
        <v>5.0</v>
      </c>
      <c r="C66" s="4">
        <v>7.0</v>
      </c>
      <c r="D66" s="4" t="s">
        <v>293</v>
      </c>
      <c r="E66" s="4" t="s">
        <v>243</v>
      </c>
      <c r="F66" s="4" t="s">
        <v>225</v>
      </c>
      <c r="G66" s="4">
        <v>1.0</v>
      </c>
      <c r="H66" s="4" t="s">
        <v>226</v>
      </c>
      <c r="I66" s="4" t="s">
        <v>227</v>
      </c>
      <c r="J66" s="4" t="s">
        <v>230</v>
      </c>
      <c r="K66" s="4"/>
      <c r="L66" s="4">
        <v>3.0</v>
      </c>
    </row>
    <row r="67" ht="14.25" customHeight="1">
      <c r="A67" s="4" t="s">
        <v>200</v>
      </c>
      <c r="B67" s="4">
        <v>5.0</v>
      </c>
      <c r="C67" s="4">
        <v>8.0</v>
      </c>
      <c r="D67" s="4" t="s">
        <v>293</v>
      </c>
      <c r="E67" s="4" t="s">
        <v>243</v>
      </c>
      <c r="F67" s="4" t="s">
        <v>225</v>
      </c>
      <c r="G67" s="4">
        <v>1.0</v>
      </c>
      <c r="H67" s="4" t="s">
        <v>226</v>
      </c>
      <c r="I67" s="4" t="s">
        <v>227</v>
      </c>
      <c r="J67" s="4" t="s">
        <v>230</v>
      </c>
      <c r="K67" s="4"/>
      <c r="L67" s="4">
        <v>3.0</v>
      </c>
    </row>
    <row r="68" ht="14.25" customHeight="1">
      <c r="A68" s="4" t="s">
        <v>205</v>
      </c>
      <c r="B68" s="4">
        <v>6.0</v>
      </c>
      <c r="C68" s="4">
        <v>5.0</v>
      </c>
      <c r="D68" s="4" t="s">
        <v>294</v>
      </c>
      <c r="E68" s="4" t="s">
        <v>254</v>
      </c>
      <c r="F68" s="4" t="s">
        <v>225</v>
      </c>
      <c r="G68" s="4">
        <v>2.0</v>
      </c>
      <c r="H68" s="4" t="s">
        <v>226</v>
      </c>
      <c r="I68" s="4" t="s">
        <v>295</v>
      </c>
      <c r="J68" s="4" t="s">
        <v>228</v>
      </c>
      <c r="K68" s="4"/>
      <c r="L68" s="4">
        <v>3.0</v>
      </c>
    </row>
    <row r="69" ht="14.25" customHeight="1">
      <c r="A69" s="4" t="s">
        <v>205</v>
      </c>
      <c r="B69" s="4">
        <v>6.0</v>
      </c>
      <c r="C69" s="4">
        <v>7.0</v>
      </c>
      <c r="D69" s="4" t="s">
        <v>294</v>
      </c>
      <c r="E69" s="4" t="s">
        <v>254</v>
      </c>
      <c r="F69" s="4" t="s">
        <v>225</v>
      </c>
      <c r="G69" s="4">
        <v>2.0</v>
      </c>
      <c r="H69" s="4" t="s">
        <v>226</v>
      </c>
      <c r="I69" s="4" t="s">
        <v>295</v>
      </c>
      <c r="J69" s="4" t="s">
        <v>228</v>
      </c>
      <c r="K69" s="4"/>
      <c r="L69" s="4">
        <v>3.0</v>
      </c>
    </row>
    <row r="70" ht="14.25" customHeight="1">
      <c r="A70" s="4" t="s">
        <v>205</v>
      </c>
      <c r="B70" s="4">
        <v>6.0</v>
      </c>
      <c r="C70" s="4">
        <v>8.0</v>
      </c>
      <c r="D70" s="4" t="s">
        <v>294</v>
      </c>
      <c r="E70" s="4" t="s">
        <v>254</v>
      </c>
      <c r="F70" s="4" t="s">
        <v>225</v>
      </c>
      <c r="G70" s="4">
        <v>2.0</v>
      </c>
      <c r="H70" s="4" t="s">
        <v>226</v>
      </c>
      <c r="I70" s="4" t="s">
        <v>295</v>
      </c>
      <c r="J70" s="4" t="s">
        <v>228</v>
      </c>
      <c r="K70" s="4"/>
      <c r="L70" s="4">
        <v>3.0</v>
      </c>
    </row>
    <row r="71" ht="14.25" customHeight="1">
      <c r="A71" s="4" t="s">
        <v>205</v>
      </c>
      <c r="B71" s="4">
        <v>6.0</v>
      </c>
      <c r="C71" s="4">
        <v>9.0</v>
      </c>
      <c r="D71" s="4" t="s">
        <v>294</v>
      </c>
      <c r="E71" s="4" t="s">
        <v>254</v>
      </c>
      <c r="F71" s="4" t="s">
        <v>225</v>
      </c>
      <c r="G71" s="4">
        <v>2.0</v>
      </c>
      <c r="H71" s="4" t="s">
        <v>226</v>
      </c>
      <c r="I71" s="4" t="s">
        <v>295</v>
      </c>
      <c r="J71" s="4" t="s">
        <v>228</v>
      </c>
      <c r="K71" s="4"/>
      <c r="L71" s="4">
        <v>3.0</v>
      </c>
    </row>
    <row r="72" ht="14.25" customHeight="1">
      <c r="A72" s="4" t="s">
        <v>205</v>
      </c>
      <c r="B72" s="4">
        <v>6.0</v>
      </c>
      <c r="C72" s="4">
        <v>10.0</v>
      </c>
      <c r="D72" s="4" t="s">
        <v>294</v>
      </c>
      <c r="E72" s="4" t="s">
        <v>254</v>
      </c>
      <c r="F72" s="4" t="s">
        <v>225</v>
      </c>
      <c r="G72" s="4">
        <v>2.0</v>
      </c>
      <c r="H72" s="4" t="s">
        <v>226</v>
      </c>
      <c r="I72" s="4" t="s">
        <v>295</v>
      </c>
      <c r="J72" s="4" t="s">
        <v>228</v>
      </c>
      <c r="K72" s="4"/>
      <c r="L72" s="4">
        <v>3.0</v>
      </c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43"/>
    <col customWidth="1" min="3" max="3" width="11.29"/>
    <col customWidth="1" min="4" max="4" width="15.0"/>
    <col customWidth="1" min="5" max="26" width="8.71"/>
  </cols>
  <sheetData>
    <row r="1" ht="14.25" customHeight="1">
      <c r="A1" s="1" t="s">
        <v>0</v>
      </c>
      <c r="B1" s="1" t="s">
        <v>222</v>
      </c>
      <c r="C1" s="1" t="s">
        <v>218</v>
      </c>
      <c r="D1" s="1" t="s">
        <v>26</v>
      </c>
    </row>
    <row r="2" ht="14.25" customHeight="1">
      <c r="A2" s="1" t="s">
        <v>32</v>
      </c>
      <c r="B2" s="1" t="s">
        <v>228</v>
      </c>
      <c r="D2" s="1">
        <v>1.0</v>
      </c>
    </row>
    <row r="3" ht="14.25" customHeight="1">
      <c r="A3" s="1" t="s">
        <v>44</v>
      </c>
      <c r="B3" s="1" t="s">
        <v>230</v>
      </c>
      <c r="D3" s="1">
        <v>1.0</v>
      </c>
    </row>
    <row r="4" ht="14.25" customHeight="1">
      <c r="A4" s="1" t="s">
        <v>50</v>
      </c>
      <c r="B4" s="1" t="s">
        <v>230</v>
      </c>
      <c r="C4" s="1" t="s">
        <v>232</v>
      </c>
      <c r="D4" s="1">
        <v>1.0</v>
      </c>
    </row>
    <row r="5" ht="14.25" customHeight="1">
      <c r="A5" s="1" t="s">
        <v>59</v>
      </c>
      <c r="B5" s="1" t="s">
        <v>228</v>
      </c>
      <c r="D5" s="1">
        <v>1.0</v>
      </c>
    </row>
    <row r="6" ht="14.25" customHeight="1">
      <c r="A6" s="1" t="s">
        <v>67</v>
      </c>
      <c r="B6" s="1" t="s">
        <v>233</v>
      </c>
      <c r="C6" s="1" t="s">
        <v>232</v>
      </c>
      <c r="D6" s="1">
        <v>1.0</v>
      </c>
    </row>
    <row r="7" ht="14.25" customHeight="1">
      <c r="A7" s="1" t="s">
        <v>77</v>
      </c>
      <c r="B7" s="1" t="s">
        <v>230</v>
      </c>
      <c r="C7" s="1" t="s">
        <v>232</v>
      </c>
      <c r="D7" s="1">
        <v>1.0</v>
      </c>
    </row>
    <row r="8" ht="14.25" customHeight="1">
      <c r="A8" s="1" t="s">
        <v>83</v>
      </c>
      <c r="B8" s="1" t="s">
        <v>230</v>
      </c>
      <c r="C8" s="1" t="s">
        <v>232</v>
      </c>
      <c r="D8" s="1">
        <v>1.0</v>
      </c>
    </row>
    <row r="9" ht="14.25" customHeight="1">
      <c r="A9" s="1" t="s">
        <v>89</v>
      </c>
      <c r="B9" s="1" t="s">
        <v>230</v>
      </c>
      <c r="C9" s="1" t="s">
        <v>232</v>
      </c>
      <c r="D9" s="1">
        <v>1.0</v>
      </c>
    </row>
    <row r="10" ht="14.25" customHeight="1">
      <c r="A10" s="1" t="s">
        <v>97</v>
      </c>
      <c r="B10" s="1" t="s">
        <v>238</v>
      </c>
      <c r="C10" s="1" t="s">
        <v>232</v>
      </c>
      <c r="D10" s="1">
        <v>1.0</v>
      </c>
    </row>
    <row r="11" ht="14.25" customHeight="1">
      <c r="A11" s="1" t="s">
        <v>103</v>
      </c>
      <c r="B11" s="1" t="s">
        <v>238</v>
      </c>
      <c r="D11" s="1">
        <v>1.0</v>
      </c>
    </row>
    <row r="12" ht="14.25" customHeight="1">
      <c r="A12" s="1" t="s">
        <v>109</v>
      </c>
      <c r="B12" s="1" t="s">
        <v>230</v>
      </c>
      <c r="D12" s="1">
        <v>1.0</v>
      </c>
    </row>
    <row r="13" ht="14.25" customHeight="1">
      <c r="A13" s="1" t="s">
        <v>115</v>
      </c>
      <c r="B13" s="1" t="s">
        <v>230</v>
      </c>
      <c r="D13" s="1">
        <v>1.0</v>
      </c>
    </row>
    <row r="14" ht="14.25" customHeight="1">
      <c r="A14" s="1" t="s">
        <v>121</v>
      </c>
      <c r="B14" s="1" t="s">
        <v>228</v>
      </c>
      <c r="D14" s="1">
        <v>2.0</v>
      </c>
    </row>
    <row r="15" ht="14.25" customHeight="1">
      <c r="A15" s="1" t="s">
        <v>127</v>
      </c>
      <c r="B15" s="1" t="s">
        <v>247</v>
      </c>
      <c r="D15" s="2">
        <v>2.0</v>
      </c>
    </row>
    <row r="16" ht="14.25" customHeight="1">
      <c r="A16" s="1" t="s">
        <v>130</v>
      </c>
      <c r="B16" s="1" t="s">
        <v>230</v>
      </c>
      <c r="D16" s="1">
        <v>2.0</v>
      </c>
    </row>
    <row r="17" ht="14.25" customHeight="1">
      <c r="A17" s="1" t="s">
        <v>134</v>
      </c>
      <c r="B17" s="1" t="s">
        <v>228</v>
      </c>
      <c r="D17" s="1">
        <v>2.0</v>
      </c>
    </row>
    <row r="18" ht="14.25" customHeight="1">
      <c r="A18" s="1" t="s">
        <v>137</v>
      </c>
      <c r="B18" s="1" t="s">
        <v>238</v>
      </c>
      <c r="D18" s="1">
        <v>2.0</v>
      </c>
    </row>
    <row r="19" ht="14.25" customHeight="1">
      <c r="A19" s="1" t="s">
        <v>145</v>
      </c>
      <c r="B19" s="1" t="s">
        <v>228</v>
      </c>
      <c r="D19" s="1">
        <v>2.0</v>
      </c>
    </row>
    <row r="20" ht="14.25" customHeight="1">
      <c r="A20" s="1" t="s">
        <v>150</v>
      </c>
      <c r="B20" s="1" t="s">
        <v>230</v>
      </c>
      <c r="D20" s="1">
        <v>2.0</v>
      </c>
    </row>
    <row r="21" ht="14.25" customHeight="1">
      <c r="A21" s="1" t="s">
        <v>153</v>
      </c>
      <c r="B21" s="1" t="s">
        <v>238</v>
      </c>
      <c r="C21" s="1" t="s">
        <v>232</v>
      </c>
      <c r="D21" s="1">
        <v>2.0</v>
      </c>
    </row>
    <row r="22" ht="14.25" customHeight="1">
      <c r="A22" s="1" t="s">
        <v>157</v>
      </c>
      <c r="B22" s="1" t="s">
        <v>230</v>
      </c>
      <c r="D22" s="1">
        <v>2.0</v>
      </c>
    </row>
    <row r="23" ht="14.25" customHeight="1">
      <c r="A23" s="1" t="s">
        <v>162</v>
      </c>
      <c r="B23" s="1" t="s">
        <v>230</v>
      </c>
      <c r="D23" s="1">
        <v>2.0</v>
      </c>
    </row>
    <row r="24" ht="14.25" customHeight="1">
      <c r="A24" s="1" t="s">
        <v>165</v>
      </c>
      <c r="B24" s="1" t="s">
        <v>230</v>
      </c>
      <c r="D24" s="1">
        <v>2.0</v>
      </c>
    </row>
    <row r="25" ht="14.25" customHeight="1">
      <c r="A25" s="1" t="s">
        <v>173</v>
      </c>
      <c r="B25" s="1" t="s">
        <v>228</v>
      </c>
      <c r="D25" s="1">
        <v>2.0</v>
      </c>
    </row>
    <row r="26" ht="14.25" customHeight="1">
      <c r="A26" s="1" t="s">
        <v>176</v>
      </c>
      <c r="B26" s="1" t="s">
        <v>233</v>
      </c>
      <c r="D26" s="1">
        <v>2.0</v>
      </c>
    </row>
    <row r="27" ht="14.25" customHeight="1">
      <c r="A27" s="1" t="s">
        <v>183</v>
      </c>
      <c r="B27" s="1" t="s">
        <v>247</v>
      </c>
      <c r="D27" s="1">
        <v>3.0</v>
      </c>
    </row>
    <row r="28" ht="14.25" customHeight="1">
      <c r="A28" s="1" t="s">
        <v>186</v>
      </c>
      <c r="B28" s="1" t="s">
        <v>261</v>
      </c>
      <c r="D28" s="1">
        <v>3.0</v>
      </c>
    </row>
    <row r="29" ht="14.25" customHeight="1">
      <c r="A29" s="1" t="s">
        <v>190</v>
      </c>
      <c r="B29" s="1" t="s">
        <v>228</v>
      </c>
      <c r="D29" s="1">
        <v>3.0</v>
      </c>
    </row>
    <row r="30" ht="14.25" customHeight="1">
      <c r="A30" s="1" t="s">
        <v>197</v>
      </c>
      <c r="B30" s="1" t="s">
        <v>230</v>
      </c>
      <c r="D30" s="1">
        <v>3.0</v>
      </c>
    </row>
    <row r="31" ht="14.25" customHeight="1">
      <c r="A31" s="1" t="s">
        <v>200</v>
      </c>
      <c r="B31" s="1" t="s">
        <v>230</v>
      </c>
      <c r="D31" s="1">
        <v>3.0</v>
      </c>
    </row>
    <row r="32" ht="14.25" customHeight="1">
      <c r="A32" s="1" t="s">
        <v>205</v>
      </c>
      <c r="B32" s="1" t="s">
        <v>228</v>
      </c>
      <c r="D32" s="1">
        <v>3.0</v>
      </c>
    </row>
    <row r="33" ht="14.25" customHeight="1">
      <c r="A33" s="2" t="s">
        <v>170</v>
      </c>
      <c r="D33" s="2">
        <v>2.0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4" width="8.71"/>
    <col customWidth="1" min="5" max="5" width="17.86"/>
    <col customWidth="1" min="6" max="8" width="8.71"/>
    <col customWidth="1" min="9" max="9" width="17.57"/>
    <col customWidth="1" min="10" max="10" width="11.29"/>
    <col customWidth="1" min="11" max="11" width="8.71"/>
    <col customWidth="1" min="12" max="12" width="9.43"/>
    <col customWidth="1" min="13" max="13" width="11.57"/>
    <col customWidth="1" min="14" max="14" width="10.57"/>
    <col customWidth="1" min="15" max="15" width="13.57"/>
    <col customWidth="1" min="16" max="16" width="12.14"/>
    <col customWidth="1" min="17" max="19" width="8.71"/>
    <col customWidth="1" min="20" max="21" width="20.86"/>
    <col customWidth="1" min="22" max="22" width="14.29"/>
    <col customWidth="1" min="23" max="27" width="8.71"/>
  </cols>
  <sheetData>
    <row r="1" ht="14.25" customHeight="1">
      <c r="A1" s="4" t="s">
        <v>0</v>
      </c>
      <c r="B1" s="4" t="s">
        <v>209</v>
      </c>
      <c r="C1" s="4" t="s">
        <v>210</v>
      </c>
      <c r="D1" s="4" t="s">
        <v>211</v>
      </c>
      <c r="E1" s="4" t="s">
        <v>212</v>
      </c>
      <c r="F1" s="4" t="s">
        <v>213</v>
      </c>
      <c r="G1" s="4" t="s">
        <v>214</v>
      </c>
      <c r="H1" s="4" t="s">
        <v>216</v>
      </c>
      <c r="I1" s="4" t="s">
        <v>217</v>
      </c>
      <c r="J1" s="4" t="s">
        <v>218</v>
      </c>
      <c r="K1" s="4" t="s">
        <v>219</v>
      </c>
      <c r="L1" s="1" t="s">
        <v>220</v>
      </c>
      <c r="M1" s="4" t="s">
        <v>296</v>
      </c>
      <c r="N1" s="4" t="s">
        <v>297</v>
      </c>
      <c r="O1" s="8" t="s">
        <v>298</v>
      </c>
      <c r="P1" s="9" t="s">
        <v>299</v>
      </c>
      <c r="Q1" s="8" t="s">
        <v>66</v>
      </c>
      <c r="R1" s="8" t="s">
        <v>76</v>
      </c>
      <c r="S1" s="8" t="s">
        <v>24</v>
      </c>
      <c r="T1" s="8" t="s">
        <v>300</v>
      </c>
      <c r="U1" s="8" t="s">
        <v>301</v>
      </c>
      <c r="V1" s="8" t="s">
        <v>302</v>
      </c>
    </row>
    <row r="2" ht="14.25" customHeight="1">
      <c r="A2" s="4" t="s">
        <v>32</v>
      </c>
      <c r="B2" s="4">
        <v>4.0</v>
      </c>
      <c r="C2" s="4">
        <v>1.0</v>
      </c>
      <c r="D2" s="4" t="s">
        <v>223</v>
      </c>
      <c r="E2" s="4" t="s">
        <v>229</v>
      </c>
      <c r="F2" s="4" t="s">
        <v>225</v>
      </c>
      <c r="G2" s="4">
        <v>2.0</v>
      </c>
      <c r="H2" s="4" t="s">
        <v>227</v>
      </c>
      <c r="I2" s="4" t="s">
        <v>228</v>
      </c>
      <c r="J2" s="4"/>
      <c r="K2" s="4">
        <v>1.0</v>
      </c>
      <c r="L2" s="10">
        <v>45265.0</v>
      </c>
      <c r="M2" s="1" t="s">
        <v>303</v>
      </c>
      <c r="N2" s="1" t="s">
        <v>304</v>
      </c>
      <c r="O2" s="8" t="s">
        <v>305</v>
      </c>
      <c r="P2" s="8">
        <v>8.0</v>
      </c>
      <c r="Q2" s="8" t="s">
        <v>306</v>
      </c>
      <c r="R2" s="8" t="s">
        <v>306</v>
      </c>
      <c r="S2" s="8" t="s">
        <v>306</v>
      </c>
      <c r="T2" s="1">
        <v>0.212</v>
      </c>
      <c r="U2" s="1">
        <v>78.0</v>
      </c>
      <c r="V2" s="11">
        <v>45273.0</v>
      </c>
    </row>
    <row r="3" ht="14.25" customHeight="1">
      <c r="A3" s="4" t="s">
        <v>44</v>
      </c>
      <c r="B3" s="4">
        <v>1.0</v>
      </c>
      <c r="C3" s="4">
        <v>2.0</v>
      </c>
      <c r="D3" s="4" t="s">
        <v>231</v>
      </c>
      <c r="E3" s="4" t="s">
        <v>229</v>
      </c>
      <c r="F3" s="4" t="s">
        <v>225</v>
      </c>
      <c r="G3" s="4">
        <v>1.0</v>
      </c>
      <c r="H3" s="4" t="s">
        <v>227</v>
      </c>
      <c r="I3" s="4" t="s">
        <v>230</v>
      </c>
      <c r="J3" s="4"/>
      <c r="K3" s="4">
        <v>1.0</v>
      </c>
      <c r="L3" s="10">
        <v>45265.0</v>
      </c>
      <c r="M3" s="1" t="s">
        <v>303</v>
      </c>
      <c r="N3" s="1" t="s">
        <v>307</v>
      </c>
      <c r="O3" s="8" t="s">
        <v>305</v>
      </c>
      <c r="P3" s="8">
        <v>15.0</v>
      </c>
      <c r="Q3" s="8" t="s">
        <v>306</v>
      </c>
      <c r="R3" s="8" t="s">
        <v>306</v>
      </c>
      <c r="S3" s="8" t="s">
        <v>306</v>
      </c>
      <c r="T3" s="8" t="s">
        <v>308</v>
      </c>
      <c r="U3" s="8" t="s">
        <v>309</v>
      </c>
      <c r="V3" s="10">
        <v>45270.0</v>
      </c>
    </row>
    <row r="4" ht="14.25" customHeight="1">
      <c r="A4" s="4" t="s">
        <v>50</v>
      </c>
      <c r="B4" s="4">
        <v>9.0</v>
      </c>
      <c r="C4" s="4">
        <v>5.0</v>
      </c>
      <c r="D4" s="4" t="s">
        <v>234</v>
      </c>
      <c r="E4" s="4" t="s">
        <v>229</v>
      </c>
      <c r="F4" s="4" t="s">
        <v>225</v>
      </c>
      <c r="G4" s="4">
        <v>1.0</v>
      </c>
      <c r="H4" s="4" t="s">
        <v>227</v>
      </c>
      <c r="I4" s="4" t="s">
        <v>230</v>
      </c>
      <c r="J4" s="4" t="s">
        <v>232</v>
      </c>
      <c r="K4" s="4">
        <v>1.0</v>
      </c>
      <c r="L4" s="10">
        <v>45265.0</v>
      </c>
      <c r="M4" s="1" t="s">
        <v>303</v>
      </c>
      <c r="N4" s="1" t="s">
        <v>310</v>
      </c>
      <c r="O4" s="8" t="s">
        <v>311</v>
      </c>
      <c r="P4" s="8">
        <v>10.0</v>
      </c>
    </row>
    <row r="5" ht="14.25" customHeight="1">
      <c r="A5" s="4" t="s">
        <v>59</v>
      </c>
      <c r="B5" s="4">
        <v>3.0</v>
      </c>
      <c r="C5" s="4">
        <v>1.0</v>
      </c>
      <c r="D5" s="4" t="s">
        <v>237</v>
      </c>
      <c r="E5" s="4" t="s">
        <v>239</v>
      </c>
      <c r="F5" s="4" t="s">
        <v>225</v>
      </c>
      <c r="G5" s="4">
        <v>2.0</v>
      </c>
      <c r="H5" s="4" t="s">
        <v>227</v>
      </c>
      <c r="I5" s="4" t="s">
        <v>228</v>
      </c>
      <c r="J5" s="4"/>
      <c r="K5" s="4">
        <v>1.0</v>
      </c>
      <c r="L5" s="10">
        <v>45265.0</v>
      </c>
      <c r="M5" s="1" t="s">
        <v>303</v>
      </c>
      <c r="N5" s="1" t="s">
        <v>310</v>
      </c>
      <c r="O5" s="8" t="s">
        <v>312</v>
      </c>
      <c r="P5" s="8">
        <v>7.0</v>
      </c>
      <c r="R5" s="8" t="s">
        <v>306</v>
      </c>
      <c r="S5" s="8" t="s">
        <v>306</v>
      </c>
      <c r="T5" s="8">
        <v>0.439</v>
      </c>
    </row>
    <row r="6" ht="14.25" customHeight="1">
      <c r="A6" s="4" t="s">
        <v>67</v>
      </c>
      <c r="B6" s="4">
        <v>1.0</v>
      </c>
      <c r="C6" s="4">
        <v>6.0</v>
      </c>
      <c r="D6" s="4" t="s">
        <v>240</v>
      </c>
      <c r="E6" s="4" t="s">
        <v>241</v>
      </c>
      <c r="F6" s="4">
        <v>-80.0</v>
      </c>
      <c r="G6" s="4">
        <v>4.0</v>
      </c>
      <c r="H6" s="4" t="s">
        <v>227</v>
      </c>
      <c r="I6" s="4" t="s">
        <v>233</v>
      </c>
      <c r="J6" s="4" t="s">
        <v>232</v>
      </c>
      <c r="K6" s="4">
        <v>1.0</v>
      </c>
      <c r="L6" s="10">
        <v>45265.0</v>
      </c>
      <c r="M6" s="1" t="s">
        <v>303</v>
      </c>
      <c r="N6" s="1" t="s">
        <v>307</v>
      </c>
      <c r="O6" s="8" t="s">
        <v>305</v>
      </c>
      <c r="P6" s="8">
        <v>6.0</v>
      </c>
      <c r="Q6" s="8" t="s">
        <v>306</v>
      </c>
      <c r="R6" s="8" t="s">
        <v>306</v>
      </c>
      <c r="S6" s="8" t="s">
        <v>306</v>
      </c>
      <c r="T6" s="1">
        <v>0.126</v>
      </c>
      <c r="U6" s="1">
        <v>77.0</v>
      </c>
      <c r="V6" s="11">
        <v>45273.0</v>
      </c>
    </row>
    <row r="7" ht="14.25" customHeight="1">
      <c r="A7" s="4" t="s">
        <v>77</v>
      </c>
      <c r="B7" s="4">
        <v>5.0</v>
      </c>
      <c r="C7" s="4">
        <v>2.0</v>
      </c>
      <c r="D7" s="4" t="s">
        <v>242</v>
      </c>
      <c r="E7" s="4" t="s">
        <v>243</v>
      </c>
      <c r="F7" s="4" t="s">
        <v>225</v>
      </c>
      <c r="G7" s="4">
        <v>1.0</v>
      </c>
      <c r="H7" s="4" t="s">
        <v>227</v>
      </c>
      <c r="I7" s="4" t="s">
        <v>230</v>
      </c>
      <c r="J7" s="4" t="s">
        <v>232</v>
      </c>
      <c r="K7" s="4">
        <v>1.0</v>
      </c>
      <c r="L7" s="10">
        <v>45265.0</v>
      </c>
      <c r="M7" s="1" t="s">
        <v>313</v>
      </c>
      <c r="N7" s="1" t="s">
        <v>310</v>
      </c>
      <c r="O7" s="8" t="s">
        <v>314</v>
      </c>
      <c r="P7" s="8" t="s">
        <v>315</v>
      </c>
    </row>
    <row r="8" ht="14.25" customHeight="1">
      <c r="A8" s="4" t="s">
        <v>83</v>
      </c>
      <c r="B8" s="4">
        <v>4.0</v>
      </c>
      <c r="C8" s="4">
        <v>3.0</v>
      </c>
      <c r="D8" s="4" t="s">
        <v>244</v>
      </c>
      <c r="E8" s="4" t="s">
        <v>245</v>
      </c>
      <c r="F8" s="4" t="s">
        <v>225</v>
      </c>
      <c r="G8" s="4">
        <v>1.0</v>
      </c>
      <c r="H8" s="4" t="s">
        <v>227</v>
      </c>
      <c r="I8" s="4" t="s">
        <v>230</v>
      </c>
      <c r="J8" s="4" t="s">
        <v>232</v>
      </c>
      <c r="K8" s="4">
        <v>1.0</v>
      </c>
      <c r="L8" s="10">
        <v>45265.0</v>
      </c>
      <c r="M8" s="1" t="s">
        <v>316</v>
      </c>
      <c r="N8" s="1" t="s">
        <v>316</v>
      </c>
      <c r="O8" s="8" t="s">
        <v>312</v>
      </c>
      <c r="P8" s="8">
        <v>7.0</v>
      </c>
      <c r="R8" s="8" t="s">
        <v>306</v>
      </c>
      <c r="S8" s="8" t="s">
        <v>306</v>
      </c>
      <c r="T8" s="8">
        <v>0.14</v>
      </c>
    </row>
    <row r="9" ht="14.25" customHeight="1">
      <c r="A9" s="4" t="s">
        <v>89</v>
      </c>
      <c r="B9" s="4">
        <v>6.0</v>
      </c>
      <c r="C9" s="4">
        <v>4.0</v>
      </c>
      <c r="D9" s="4" t="s">
        <v>246</v>
      </c>
      <c r="E9" s="4" t="s">
        <v>245</v>
      </c>
      <c r="F9" s="4" t="s">
        <v>225</v>
      </c>
      <c r="G9" s="4">
        <v>1.0</v>
      </c>
      <c r="H9" s="4" t="s">
        <v>227</v>
      </c>
      <c r="I9" s="4" t="s">
        <v>230</v>
      </c>
      <c r="J9" s="4" t="s">
        <v>232</v>
      </c>
      <c r="K9" s="4">
        <v>1.0</v>
      </c>
      <c r="L9" s="10">
        <v>45265.0</v>
      </c>
      <c r="M9" s="1" t="s">
        <v>303</v>
      </c>
      <c r="N9" s="1" t="s">
        <v>304</v>
      </c>
      <c r="O9" s="8" t="s">
        <v>305</v>
      </c>
      <c r="P9" s="8">
        <v>13.0</v>
      </c>
      <c r="Q9" s="8" t="s">
        <v>306</v>
      </c>
      <c r="R9" s="8" t="s">
        <v>306</v>
      </c>
      <c r="S9" s="8" t="s">
        <v>306</v>
      </c>
      <c r="T9" s="8" t="s">
        <v>317</v>
      </c>
      <c r="U9" s="1">
        <v>64.0</v>
      </c>
      <c r="V9" s="11">
        <v>45273.0</v>
      </c>
    </row>
    <row r="10" ht="14.25" customHeight="1">
      <c r="A10" s="4" t="s">
        <v>97</v>
      </c>
      <c r="B10" s="4">
        <v>6.0</v>
      </c>
      <c r="C10" s="4">
        <v>6.0</v>
      </c>
      <c r="D10" s="4" t="s">
        <v>248</v>
      </c>
      <c r="E10" s="4" t="s">
        <v>245</v>
      </c>
      <c r="F10" s="4" t="s">
        <v>225</v>
      </c>
      <c r="G10" s="4">
        <v>0.0</v>
      </c>
      <c r="H10" s="4" t="s">
        <v>227</v>
      </c>
      <c r="I10" s="4" t="s">
        <v>238</v>
      </c>
      <c r="J10" s="4" t="s">
        <v>232</v>
      </c>
      <c r="K10" s="4">
        <v>1.0</v>
      </c>
      <c r="L10" s="10">
        <v>45265.0</v>
      </c>
      <c r="M10" s="1" t="s">
        <v>316</v>
      </c>
      <c r="N10" s="1" t="s">
        <v>310</v>
      </c>
      <c r="O10" s="8" t="s">
        <v>314</v>
      </c>
      <c r="P10" s="8" t="s">
        <v>315</v>
      </c>
    </row>
    <row r="11" ht="14.25" customHeight="1">
      <c r="A11" s="4" t="s">
        <v>103</v>
      </c>
      <c r="B11" s="4">
        <v>5.0</v>
      </c>
      <c r="C11" s="4">
        <v>7.0</v>
      </c>
      <c r="D11" s="4" t="s">
        <v>249</v>
      </c>
      <c r="E11" s="4" t="s">
        <v>245</v>
      </c>
      <c r="F11" s="4" t="s">
        <v>225</v>
      </c>
      <c r="G11" s="4">
        <v>0.0</v>
      </c>
      <c r="H11" s="4" t="s">
        <v>227</v>
      </c>
      <c r="I11" s="4" t="s">
        <v>238</v>
      </c>
      <c r="J11" s="4"/>
      <c r="K11" s="4">
        <v>1.0</v>
      </c>
      <c r="L11" s="10">
        <v>45265.0</v>
      </c>
      <c r="M11" s="1" t="s">
        <v>316</v>
      </c>
      <c r="N11" s="1" t="s">
        <v>316</v>
      </c>
      <c r="O11" s="8" t="s">
        <v>318</v>
      </c>
      <c r="P11" s="8" t="s">
        <v>315</v>
      </c>
    </row>
    <row r="12" ht="14.25" customHeight="1">
      <c r="A12" s="4" t="s">
        <v>109</v>
      </c>
      <c r="B12" s="4">
        <v>6.0</v>
      </c>
      <c r="C12" s="4">
        <v>1.0</v>
      </c>
      <c r="D12" s="4" t="s">
        <v>250</v>
      </c>
      <c r="E12" s="4" t="s">
        <v>251</v>
      </c>
      <c r="F12" s="4" t="s">
        <v>225</v>
      </c>
      <c r="G12" s="4">
        <v>1.0</v>
      </c>
      <c r="H12" s="4" t="s">
        <v>227</v>
      </c>
      <c r="I12" s="4" t="s">
        <v>230</v>
      </c>
      <c r="J12" s="4"/>
      <c r="K12" s="4">
        <v>1.0</v>
      </c>
      <c r="L12" s="10">
        <v>45265.0</v>
      </c>
      <c r="M12" s="1" t="s">
        <v>303</v>
      </c>
      <c r="N12" s="1" t="s">
        <v>316</v>
      </c>
      <c r="O12" s="8" t="s">
        <v>311</v>
      </c>
      <c r="P12" s="8">
        <v>10.0</v>
      </c>
    </row>
    <row r="13" ht="14.25" customHeight="1">
      <c r="A13" s="4" t="s">
        <v>115</v>
      </c>
      <c r="B13" s="4">
        <v>4.0</v>
      </c>
      <c r="C13" s="4">
        <v>1.0</v>
      </c>
      <c r="D13" s="4" t="s">
        <v>252</v>
      </c>
      <c r="E13" s="4" t="s">
        <v>251</v>
      </c>
      <c r="F13" s="4" t="s">
        <v>225</v>
      </c>
      <c r="G13" s="4">
        <v>1.0</v>
      </c>
      <c r="H13" s="4" t="s">
        <v>227</v>
      </c>
      <c r="I13" s="4" t="s">
        <v>230</v>
      </c>
      <c r="J13" s="4"/>
      <c r="K13" s="4">
        <v>1.0</v>
      </c>
      <c r="L13" s="10">
        <v>45265.0</v>
      </c>
      <c r="M13" s="1" t="s">
        <v>316</v>
      </c>
      <c r="N13" s="1" t="s">
        <v>310</v>
      </c>
      <c r="O13" s="8" t="s">
        <v>314</v>
      </c>
      <c r="P13" s="8" t="s">
        <v>315</v>
      </c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4.25" customHeight="1"/>
    <row r="16" ht="14.25" customHeight="1"/>
    <row r="17" ht="14.25" customHeight="1">
      <c r="A17" s="4"/>
      <c r="B17" s="4"/>
      <c r="C17" s="4"/>
      <c r="D17" s="4"/>
      <c r="E17" s="4"/>
    </row>
    <row r="18" ht="14.25" customHeight="1">
      <c r="A18" s="4"/>
      <c r="B18" s="4"/>
      <c r="C18" s="4"/>
    </row>
    <row r="19" ht="14.25" customHeight="1">
      <c r="A19" s="4"/>
      <c r="B19" s="4"/>
      <c r="C19" s="4"/>
    </row>
    <row r="20" ht="14.25" customHeight="1">
      <c r="A20" s="4"/>
      <c r="B20" s="4"/>
      <c r="C20" s="4"/>
    </row>
    <row r="21" ht="14.25" customHeight="1">
      <c r="A21" s="4"/>
      <c r="B21" s="4"/>
      <c r="C21" s="4"/>
    </row>
    <row r="22" ht="14.25" customHeight="1">
      <c r="A22" s="4"/>
      <c r="B22" s="4"/>
      <c r="C22" s="4"/>
    </row>
    <row r="23" ht="14.25" customHeight="1">
      <c r="A23" s="4"/>
      <c r="B23" s="4"/>
      <c r="C23" s="4"/>
    </row>
    <row r="24" ht="14.25" customHeight="1">
      <c r="A24" s="4"/>
      <c r="B24" s="4"/>
      <c r="C24" s="4"/>
    </row>
    <row r="25" ht="14.25" customHeight="1">
      <c r="A25" s="4"/>
      <c r="B25" s="4"/>
      <c r="C25" s="4"/>
    </row>
    <row r="26" ht="14.25" customHeight="1">
      <c r="A26" s="4"/>
      <c r="B26" s="4"/>
      <c r="C26" s="4"/>
    </row>
    <row r="27" ht="14.25" customHeight="1">
      <c r="A27" s="4"/>
      <c r="B27" s="4"/>
      <c r="C27" s="4"/>
    </row>
    <row r="28" ht="14.25" customHeight="1">
      <c r="A28" s="4"/>
      <c r="B28" s="4"/>
      <c r="C28" s="4"/>
    </row>
    <row r="29" ht="14.25" customHeight="1">
      <c r="A29" s="4"/>
      <c r="B29" s="4"/>
      <c r="C29" s="4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2023-12-05T13:39:17Z</dcterms:created>
</cp:coreProperties>
</file>