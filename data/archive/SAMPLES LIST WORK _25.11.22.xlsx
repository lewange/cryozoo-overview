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" sheetId="1" r:id="rId4"/>
    <sheet state="visible" name="Re-Try Samples" sheetId="2" r:id="rId5"/>
    <sheet state="visible" name="iPSC Silvia " sheetId="3" r:id="rId6"/>
    <sheet state="visible" name="Library" sheetId="4" r:id="rId7"/>
    <sheet state="visible" name="iPS Isa" sheetId="5" r:id="rId8"/>
    <sheet state="visible" name="Hoja 8" sheetId="6" r:id="rId9"/>
    <sheet state="visible" name="Hoja 6" sheetId="7" r:id="rId10"/>
    <sheet state="visible" name="DNAExtraction" sheetId="8" r:id="rId11"/>
    <sheet state="visible" name="-80BCNZOO" sheetId="9" r:id="rId12"/>
    <sheet state="visible" name="Karyotype" sheetId="10" r:id="rId13"/>
    <sheet state="visible" name="iPSC Primates" sheetId="11" r:id="rId14"/>
    <sheet state="visible" name="Copia de Karyotype" sheetId="12" r:id="rId15"/>
    <sheet state="visible" name="SAMPLES OLD (se puede borrar)" sheetId="13" r:id="rId16"/>
  </sheets>
  <definedNames/>
  <calcPr/>
  <extLst>
    <ext uri="GoogleSheetsCustomDataVersion1">
      <go:sheetsCustomData xmlns:go="http://customooxmlschemas.google.com/" r:id="rId17" roundtripDataSignature="AMtx7mjw38WXMmMx4cmfc2768YOehD0vBQ=="/>
    </ext>
  </extLst>
</workbook>
</file>

<file path=xl/sharedStrings.xml><?xml version="1.0" encoding="utf-8"?>
<sst xmlns="http://schemas.openxmlformats.org/spreadsheetml/2006/main" count="9924" uniqueCount="2915">
  <si>
    <t xml:space="preserve">  </t>
  </si>
  <si>
    <t>SAMPLE</t>
  </si>
  <si>
    <t>DATE</t>
  </si>
  <si>
    <t>ANIMAL SPECIES</t>
  </si>
  <si>
    <t>COMING FROM</t>
  </si>
  <si>
    <t>Species 360-Local ID</t>
  </si>
  <si>
    <t>PROCESS</t>
  </si>
  <si>
    <t>MEDIUM</t>
  </si>
  <si>
    <t>PERSON IN CHARGE</t>
  </si>
  <si>
    <t>NOTES</t>
  </si>
  <si>
    <t>VIALS N2</t>
  </si>
  <si>
    <t>PELLET</t>
  </si>
  <si>
    <t>MICOPLASMA TEST</t>
  </si>
  <si>
    <t>DNA extr./TECHNICIAN</t>
  </si>
  <si>
    <t>RNA extr./TECHNICIAN</t>
  </si>
  <si>
    <t>Karyotype</t>
  </si>
  <si>
    <t>A1</t>
  </si>
  <si>
    <t>Western Chimpanzee</t>
  </si>
  <si>
    <t>Copenaghen ZOO</t>
  </si>
  <si>
    <t>27717382-CHI003</t>
  </si>
  <si>
    <t>blood</t>
  </si>
  <si>
    <t>coagulated</t>
  </si>
  <si>
    <t>Armida</t>
  </si>
  <si>
    <t>/</t>
  </si>
  <si>
    <t>muscle</t>
  </si>
  <si>
    <t>dissection directly on plate</t>
  </si>
  <si>
    <t>Armida/Sira</t>
  </si>
  <si>
    <r>
      <rPr>
        <rFont val="Calibri, Arial"/>
        <color rgb="FF000000"/>
        <sz val="11.0"/>
      </rPr>
      <t xml:space="preserve">fibros </t>
    </r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 xml:space="preserve"> (4 vials)</t>
    </r>
  </si>
  <si>
    <t xml:space="preserve">           NEGATIVE @P3</t>
  </si>
  <si>
    <t>done</t>
  </si>
  <si>
    <t>brain</t>
  </si>
  <si>
    <t>frozen 4 vials</t>
  </si>
  <si>
    <r>
      <rPr>
        <rFont val="Calibri"/>
        <b/>
        <color theme="1"/>
        <sz val="11.0"/>
      </rPr>
      <t>P2</t>
    </r>
    <r>
      <rPr>
        <rFont val="Calibri"/>
        <b/>
        <color theme="1"/>
        <sz val="11.0"/>
      </rPr>
      <t xml:space="preserve"> (3 vials)</t>
    </r>
  </si>
  <si>
    <t>entire ear</t>
  </si>
  <si>
    <t>Sira</t>
  </si>
  <si>
    <r>
      <rPr>
        <rFont val="Calibri"/>
        <b/>
        <color theme="1"/>
        <sz val="11.0"/>
      </rPr>
      <t>P3</t>
    </r>
    <r>
      <rPr>
        <rFont val="Calibri"/>
        <b/>
        <color theme="1"/>
        <sz val="11.0"/>
      </rPr>
      <t xml:space="preserve"> (4 vials)</t>
    </r>
  </si>
  <si>
    <r>
      <rPr>
        <rFont val="Calibri"/>
        <b/>
        <color theme="1"/>
        <sz val="11.0"/>
      </rPr>
      <t>P4</t>
    </r>
    <r>
      <rPr>
        <rFont val="Calibri"/>
        <b/>
        <color theme="1"/>
        <sz val="11.0"/>
      </rPr>
      <t xml:space="preserve"> (5)</t>
    </r>
  </si>
  <si>
    <t>A2</t>
  </si>
  <si>
    <t>24/10/2019</t>
  </si>
  <si>
    <t>Wolf (lobo iberico)</t>
  </si>
  <si>
    <t>BCN ZOO</t>
  </si>
  <si>
    <t>MIG12-29349207/13451</t>
  </si>
  <si>
    <t>PBMc isolation</t>
  </si>
  <si>
    <t>2 vials</t>
  </si>
  <si>
    <t xml:space="preserve">Pellet for DNA </t>
  </si>
  <si>
    <t>tissue</t>
  </si>
  <si>
    <r>
      <rPr>
        <rFont val="Calibri"/>
        <b/>
        <color theme="1"/>
        <sz val="11.0"/>
      </rPr>
      <t xml:space="preserve"> P</t>
    </r>
    <r>
      <rPr>
        <rFont val="Calibri"/>
        <b/>
        <color theme="1"/>
        <sz val="11.0"/>
      </rPr>
      <t>1(2 vials)</t>
    </r>
  </si>
  <si>
    <t xml:space="preserve">Pellet for RNA </t>
  </si>
  <si>
    <r>
      <rPr>
        <rFont val="Calibri"/>
        <b/>
        <color theme="1"/>
        <sz val="11.0"/>
      </rPr>
      <t>P2</t>
    </r>
    <r>
      <rPr>
        <rFont val="Calibri"/>
        <b/>
        <color theme="1"/>
        <sz val="11.0"/>
      </rPr>
      <t>(2 vials)</t>
    </r>
  </si>
  <si>
    <r>
      <rPr>
        <rFont val="Calibri"/>
        <b/>
        <color theme="1"/>
        <sz val="11.0"/>
      </rPr>
      <t>P3</t>
    </r>
    <r>
      <rPr>
        <rFont val="Calibri"/>
        <b/>
        <color theme="1"/>
        <sz val="11.0"/>
      </rPr>
      <t>(3 vials)</t>
    </r>
  </si>
  <si>
    <t>A3</t>
  </si>
  <si>
    <t>Calotriton Arnoldi</t>
  </si>
  <si>
    <t>Torre Ferrusa (UAB)</t>
  </si>
  <si>
    <t>OR193 son of TOR18+TOR16</t>
  </si>
  <si>
    <t>tongue/head</t>
  </si>
  <si>
    <t>frozen, dissection directly on plate</t>
  </si>
  <si>
    <t xml:space="preserve">             </t>
  </si>
  <si>
    <t>tail</t>
  </si>
  <si>
    <t>skin</t>
  </si>
  <si>
    <t>trachea</t>
  </si>
  <si>
    <t>testicles</t>
  </si>
  <si>
    <t xml:space="preserve">frozen tail </t>
  </si>
  <si>
    <t xml:space="preserve"> Liberase</t>
  </si>
  <si>
    <t>26/11/2019</t>
  </si>
  <si>
    <t>second round</t>
  </si>
  <si>
    <t>A4</t>
  </si>
  <si>
    <t>Dolphin</t>
  </si>
  <si>
    <t>MIG12-30088917</t>
  </si>
  <si>
    <r>
      <rPr>
        <rFont val="Calibri, Arial"/>
        <color rgb="FF000000"/>
        <sz val="11.0"/>
      </rPr>
      <t xml:space="preserve">Fibros </t>
    </r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 xml:space="preserve"> (2vials)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</si>
  <si>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>P2(3 vials)</t>
    </r>
  </si>
  <si>
    <r>
      <rPr>
        <rFont val="Calibri"/>
        <b/>
        <color theme="1"/>
        <sz val="11.0"/>
      </rPr>
      <t>P3</t>
    </r>
    <r>
      <rPr>
        <rFont val="Calibri"/>
        <b/>
        <color theme="1"/>
        <sz val="11.0"/>
      </rPr>
      <t>(1 vial)</t>
    </r>
  </si>
  <si>
    <t>A5</t>
  </si>
  <si>
    <t>Ateles hybridus (mono arana)</t>
  </si>
  <si>
    <t>QGH19-05276/13598</t>
  </si>
  <si>
    <t>Tissue</t>
  </si>
  <si>
    <t>dissection directly on plate, liberase</t>
  </si>
  <si>
    <r>
      <rPr>
        <rFont val="Calibri"/>
        <b/>
        <color theme="1"/>
        <sz val="11.0"/>
      </rPr>
      <t>P2</t>
    </r>
    <r>
      <rPr>
        <rFont val="Calibri"/>
        <b/>
        <color theme="1"/>
        <sz val="11.0"/>
      </rPr>
      <t>(2 vials)</t>
    </r>
  </si>
  <si>
    <r>
      <rPr>
        <rFont val="Calibri"/>
        <b/>
        <color theme="1"/>
        <sz val="11.0"/>
      </rPr>
      <t>P3</t>
    </r>
    <r>
      <rPr>
        <rFont val="Calibri"/>
        <b/>
        <color theme="1"/>
        <sz val="11.0"/>
      </rPr>
      <t>(2 vials)</t>
    </r>
  </si>
  <si>
    <t>A6</t>
  </si>
  <si>
    <t>14/11/2019</t>
  </si>
  <si>
    <t>QGH19-05277-IA/AP19-133</t>
  </si>
  <si>
    <t>all body (new born)</t>
  </si>
  <si>
    <t>dissociation directly on plate</t>
  </si>
  <si>
    <t>A7</t>
  </si>
  <si>
    <t>15/11/2019</t>
  </si>
  <si>
    <t>Connochaetes gnou</t>
  </si>
  <si>
    <t>2 vials PBMc</t>
  </si>
  <si>
    <t>A8</t>
  </si>
  <si>
    <t>22/11/2019</t>
  </si>
  <si>
    <t>Lutra Lutra</t>
  </si>
  <si>
    <t>10500/25402188</t>
  </si>
  <si>
    <t>frozen, dissociation directly on plate</t>
  </si>
  <si>
    <r>
      <rPr>
        <rFont val="Calibri, Arial"/>
        <color rgb="FF000000"/>
        <sz val="11.0"/>
      </rPr>
      <t xml:space="preserve">Fibros </t>
    </r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 xml:space="preserve"> (2vials)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</si>
  <si>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 xml:space="preserve">    P2(3 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</si>
  <si>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 xml:space="preserve">   P3(4vials)</t>
    </r>
  </si>
  <si>
    <t>A9</t>
  </si>
  <si>
    <t>Nanger Dama Mhorr</t>
  </si>
  <si>
    <t xml:space="preserve">blood </t>
  </si>
  <si>
    <t>1 vial PMBc</t>
  </si>
  <si>
    <t>placenta</t>
  </si>
  <si>
    <t>frozen ,dissection directly on plate</t>
  </si>
  <si>
    <r>
      <rPr>
        <rFont val="Calibri"/>
        <b/>
        <color theme="1"/>
        <sz val="11.0"/>
      </rPr>
      <t>P1</t>
    </r>
    <r>
      <rPr>
        <rFont val="Calibri"/>
        <b/>
        <color theme="1"/>
        <sz val="11.0"/>
      </rPr>
      <t>(4vials)</t>
    </r>
  </si>
  <si>
    <r>
      <rPr>
        <rFont val="Calibri"/>
        <b/>
        <color theme="1"/>
        <sz val="11.0"/>
      </rPr>
      <t>P2</t>
    </r>
    <r>
      <rPr>
        <rFont val="Calibri"/>
        <b/>
        <color theme="1"/>
        <sz val="11.0"/>
      </rPr>
      <t>(4vials)</t>
    </r>
  </si>
  <si>
    <r>
      <rPr>
        <rFont val="Calibri"/>
        <b/>
        <color theme="1"/>
        <sz val="11.0"/>
      </rPr>
      <t>P4</t>
    </r>
    <r>
      <rPr>
        <rFont val="Calibri"/>
        <b/>
        <color theme="1"/>
        <sz val="11.0"/>
      </rPr>
      <t>(6vials)</t>
    </r>
  </si>
  <si>
    <t>ombelical cord</t>
  </si>
  <si>
    <t xml:space="preserve">frozen </t>
  </si>
  <si>
    <t>A10</t>
  </si>
  <si>
    <t>Panthera leo bleyenberghi</t>
  </si>
  <si>
    <t>MIG12-29591105/8890</t>
  </si>
  <si>
    <t>1 vial PBMc</t>
  </si>
  <si>
    <t>Pellet for DNA</t>
  </si>
  <si>
    <t xml:space="preserve">NEGATIVE @P2 </t>
  </si>
  <si>
    <t>abdominal skin</t>
  </si>
  <si>
    <t>frozen, dissection directly on plate, liberase</t>
  </si>
  <si>
    <r>
      <rPr>
        <rFont val="Calibri"/>
        <b/>
        <color theme="1"/>
        <sz val="11.0"/>
      </rPr>
      <t>P2</t>
    </r>
    <r>
      <rPr>
        <rFont val="Calibri"/>
        <b/>
        <color theme="1"/>
        <sz val="11.0"/>
      </rPr>
      <t xml:space="preserve"> (4vials)</t>
    </r>
  </si>
  <si>
    <t>A11</t>
  </si>
  <si>
    <t>13/12/2019</t>
  </si>
  <si>
    <t>Chimpanzee</t>
  </si>
  <si>
    <t>PBMc isolation, DNA extraction</t>
  </si>
  <si>
    <t>freeze</t>
  </si>
  <si>
    <t>1 vial</t>
  </si>
  <si>
    <r>
      <rPr>
        <rFont val="Calibri"/>
        <b/>
        <color theme="1"/>
        <sz val="11.0"/>
      </rPr>
      <t xml:space="preserve">  </t>
    </r>
    <r>
      <rPr>
        <rFont val="Calibri"/>
        <color theme="1"/>
        <sz val="11.0"/>
      </rPr>
      <t xml:space="preserve"> P2 (2vials)</t>
    </r>
  </si>
  <si>
    <r>
      <rPr>
        <rFont val="Calibri"/>
        <b/>
        <color theme="1"/>
        <sz val="11.0"/>
      </rPr>
      <t xml:space="preserve"> P</t>
    </r>
    <r>
      <rPr>
        <rFont val="Calibri"/>
        <b/>
        <color theme="1"/>
        <sz val="11.0"/>
      </rPr>
      <t>3(1vial)</t>
    </r>
  </si>
  <si>
    <t>A12</t>
  </si>
  <si>
    <t>Giraffa camelopardalis rothschildi</t>
  </si>
  <si>
    <t>placenta post partum</t>
  </si>
  <si>
    <r>
      <rPr>
        <rFont val="Calibri"/>
        <b/>
        <color theme="1"/>
        <sz val="11.0"/>
      </rPr>
      <t>P0</t>
    </r>
    <r>
      <rPr>
        <rFont val="Calibri"/>
        <b/>
        <color theme="1"/>
        <sz val="11.0"/>
      </rPr>
      <t xml:space="preserve"> (3 vials)</t>
    </r>
  </si>
  <si>
    <t>NEGATIVE @P2</t>
  </si>
  <si>
    <r>
      <rPr>
        <rFont val="Calibri"/>
        <b/>
        <color theme="1"/>
        <sz val="11.0"/>
      </rPr>
      <t>P1</t>
    </r>
    <r>
      <rPr>
        <rFont val="Calibri"/>
        <b/>
        <color theme="1"/>
        <sz val="11.0"/>
      </rPr>
      <t xml:space="preserve"> (4 vials)</t>
    </r>
  </si>
  <si>
    <r>
      <rPr>
        <rFont val="Calibri"/>
        <b/>
        <color theme="1"/>
        <sz val="11.0"/>
      </rPr>
      <t>P2</t>
    </r>
    <r>
      <rPr>
        <rFont val="Calibri"/>
        <b/>
        <color theme="1"/>
        <sz val="11.0"/>
      </rPr>
      <t xml:space="preserve"> (9 vials)</t>
    </r>
  </si>
  <si>
    <r>
      <rPr>
        <rFont val="Calibri"/>
        <b/>
        <color theme="1"/>
        <sz val="11.0"/>
      </rPr>
      <t>P3</t>
    </r>
    <r>
      <rPr>
        <rFont val="Calibri"/>
        <b/>
        <color theme="1"/>
        <sz val="11.0"/>
      </rPr>
      <t xml:space="preserve"> (1vial)</t>
    </r>
  </si>
  <si>
    <t>A13</t>
  </si>
  <si>
    <t>20/02/2020</t>
  </si>
  <si>
    <t>Panthera Leo Bleyenberghi</t>
  </si>
  <si>
    <t>26384182/8891</t>
  </si>
  <si>
    <r>
      <rPr>
        <rFont val="Calibri"/>
        <b/>
        <color theme="1"/>
        <sz val="11.0"/>
      </rPr>
      <t xml:space="preserve">P0 </t>
    </r>
    <r>
      <rPr>
        <rFont val="Calibri"/>
        <b/>
        <color theme="1"/>
        <sz val="11.0"/>
      </rPr>
      <t xml:space="preserve"> (1 vial)</t>
    </r>
  </si>
  <si>
    <t>"RunRun"</t>
  </si>
  <si>
    <r>
      <rPr>
        <rFont val="Calibri"/>
        <b/>
        <color theme="1"/>
        <sz val="11.0"/>
      </rPr>
      <t xml:space="preserve">   </t>
    </r>
    <r>
      <rPr>
        <rFont val="Calibri"/>
        <color theme="1"/>
        <sz val="11.0"/>
      </rPr>
      <t xml:space="preserve">            P1  (1 vial)</t>
    </r>
  </si>
  <si>
    <r>
      <rPr>
        <rFont val="Calibri"/>
        <b/>
        <color theme="1"/>
        <sz val="11.0"/>
      </rPr>
      <t xml:space="preserve">   </t>
    </r>
    <r>
      <rPr>
        <rFont val="Calibri"/>
        <color theme="1"/>
        <sz val="11.0"/>
      </rPr>
      <t xml:space="preserve">            P2 (8vials)</t>
    </r>
  </si>
  <si>
    <t>A14</t>
  </si>
  <si>
    <t>QGH16-04155/12780</t>
  </si>
  <si>
    <r>
      <rPr>
        <rFont val="Calibri"/>
        <b/>
        <color theme="1"/>
        <sz val="11.0"/>
      </rPr>
      <t>P0</t>
    </r>
    <r>
      <rPr>
        <rFont val="Calibri"/>
        <b/>
        <color theme="1"/>
        <sz val="11.0"/>
      </rPr>
      <t xml:space="preserve"> (1 vial)</t>
    </r>
  </si>
  <si>
    <t xml:space="preserve"> "Macho"</t>
  </si>
  <si>
    <r>
      <rPr>
        <rFont val="Calibri"/>
        <b/>
        <color theme="1"/>
        <sz val="11.0"/>
      </rPr>
      <t xml:space="preserve">  </t>
    </r>
    <r>
      <rPr>
        <rFont val="Calibri"/>
        <color theme="1"/>
        <sz val="11.0"/>
      </rPr>
      <t xml:space="preserve">             P1 (1 vial)</t>
    </r>
  </si>
  <si>
    <r>
      <rPr>
        <rFont val="Calibri"/>
        <b/>
        <color theme="1"/>
        <sz val="11.0"/>
      </rPr>
      <t xml:space="preserve">P2 </t>
    </r>
    <r>
      <rPr>
        <rFont val="Calibri"/>
        <b/>
        <color theme="1"/>
        <sz val="11.0"/>
      </rPr>
      <t>(vials)</t>
    </r>
  </si>
  <si>
    <t>A15</t>
  </si>
  <si>
    <t>27/02/2020</t>
  </si>
  <si>
    <t>Zebra</t>
  </si>
  <si>
    <r>
      <rPr>
        <rFont val="Calibri"/>
        <b/>
        <color theme="1"/>
        <sz val="11.0"/>
      </rPr>
      <t>P0</t>
    </r>
    <r>
      <rPr>
        <rFont val="Calibri"/>
        <b/>
        <color theme="1"/>
        <sz val="11.0"/>
      </rPr>
      <t xml:space="preserve"> (1 vial)</t>
    </r>
  </si>
  <si>
    <r>
      <rPr>
        <rFont val="Calibri"/>
        <b/>
        <color theme="1"/>
        <sz val="11.0"/>
      </rPr>
      <t xml:space="preserve"> P</t>
    </r>
    <r>
      <rPr>
        <rFont val="Calibri"/>
        <color theme="1"/>
        <sz val="11.0"/>
      </rPr>
      <t>1 (5 vial)</t>
    </r>
  </si>
  <si>
    <r>
      <rPr>
        <rFont val="Calibri"/>
        <b/>
        <color theme="1"/>
        <sz val="11.0"/>
      </rPr>
      <t xml:space="preserve">  </t>
    </r>
    <r>
      <rPr>
        <rFont val="Calibri"/>
        <color theme="1"/>
        <sz val="11.0"/>
      </rPr>
      <t>P3 (4vial)</t>
    </r>
  </si>
  <si>
    <t>A16</t>
  </si>
  <si>
    <t>Chimpanzee "la vieja"</t>
  </si>
  <si>
    <t>MIG12-30088851/BARCELONA / 11</t>
  </si>
  <si>
    <t>tissue (oreja)</t>
  </si>
  <si>
    <t>dissection and freeze</t>
  </si>
  <si>
    <r>
      <rPr>
        <rFont val="Calibri"/>
        <b/>
        <color theme="1"/>
        <sz val="11.0"/>
      </rPr>
      <t>P0</t>
    </r>
    <r>
      <rPr>
        <rFont val="Calibri"/>
        <b/>
        <color theme="1"/>
        <sz val="11.0"/>
      </rPr>
      <t xml:space="preserve"> (2 vial)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</si>
  <si>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 xml:space="preserve">  P1 (6 vials)</t>
    </r>
  </si>
  <si>
    <t xml:space="preserve"> </t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</si>
  <si>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>P2(4vials)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</si>
  <si>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 xml:space="preserve"> P3(2 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</si>
  <si>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>P4(2vials)</t>
    </r>
  </si>
  <si>
    <t>A17</t>
  </si>
  <si>
    <t>25/05/2020</t>
  </si>
  <si>
    <t>Triton</t>
  </si>
  <si>
    <t>QGH20-05351-IA</t>
  </si>
  <si>
    <t>tissue ( 1paw)</t>
  </si>
  <si>
    <t>A18</t>
  </si>
  <si>
    <t>Gazela dorcas</t>
  </si>
  <si>
    <t>MIG12-29435084/11047</t>
  </si>
  <si>
    <r>
      <rPr>
        <rFont val="Calibri"/>
        <b/>
        <color theme="1"/>
        <sz val="11.0"/>
      </rPr>
      <t>P0</t>
    </r>
    <r>
      <rPr>
        <rFont val="Calibri"/>
        <b/>
        <color theme="1"/>
        <sz val="11.0"/>
      </rPr>
      <t xml:space="preserve"> (4 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</si>
  <si>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 xml:space="preserve">          P1(4vials)</t>
    </r>
  </si>
  <si>
    <r>
      <rPr>
        <rFont val="Calibri"/>
        <b/>
        <color theme="1"/>
        <sz val="11.0"/>
      </rPr>
      <t>P2</t>
    </r>
    <r>
      <rPr>
        <rFont val="Calibri"/>
        <b/>
        <color theme="1"/>
        <sz val="11.0"/>
      </rPr>
      <t>(4vials)</t>
    </r>
  </si>
  <si>
    <r>
      <rPr>
        <rFont val="Calibri"/>
        <b/>
        <color theme="1"/>
        <sz val="11.0"/>
      </rPr>
      <t>P3</t>
    </r>
    <r>
      <rPr>
        <rFont val="Calibri"/>
        <b/>
        <color theme="1"/>
        <sz val="11.0"/>
      </rPr>
      <t>(2vials)</t>
    </r>
  </si>
  <si>
    <t>A19</t>
  </si>
  <si>
    <t>Gazela dama mohor #13447</t>
  </si>
  <si>
    <t>QGH19-05123/13447</t>
  </si>
  <si>
    <t>Tissue (piel)</t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</si>
  <si>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 xml:space="preserve">          P1(6 vials)</t>
    </r>
  </si>
  <si>
    <r>
      <rPr>
        <rFont val="Calibri"/>
        <b/>
        <color theme="1"/>
        <sz val="11.0"/>
      </rPr>
      <t>P2</t>
    </r>
    <r>
      <rPr>
        <rFont val="Calibri"/>
        <b/>
        <color theme="1"/>
        <sz val="11.0"/>
      </rPr>
      <t>(8vials)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</si>
  <si>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>P3(10vials)</t>
    </r>
  </si>
  <si>
    <r>
      <rPr>
        <rFont val="Calibri"/>
        <b/>
        <color theme="1"/>
        <sz val="11.0"/>
      </rPr>
      <t>P4</t>
    </r>
    <r>
      <rPr>
        <rFont val="Calibri"/>
        <b/>
        <color theme="1"/>
        <sz val="11.0"/>
      </rPr>
      <t xml:space="preserve"> (4vials)</t>
    </r>
  </si>
  <si>
    <t>A20</t>
  </si>
  <si>
    <t xml:space="preserve">Gazela dama mohor </t>
  </si>
  <si>
    <t>QGH19-05159/13483</t>
  </si>
  <si>
    <t>TO REPEAT</t>
  </si>
  <si>
    <t xml:space="preserve">A21 </t>
  </si>
  <si>
    <t>Gazela Dorcas</t>
  </si>
  <si>
    <t>MIG12-29435079/BARCELONA / 10606</t>
  </si>
  <si>
    <t>Tissue (oreja)</t>
  </si>
  <si>
    <r>
      <rPr>
        <rFont val="Calibri, Arial"/>
        <b/>
        <color rgb="FF000000"/>
        <sz val="11.0"/>
      </rPr>
      <t>Biopsia</t>
    </r>
    <r>
      <rPr>
        <rFont val="Calibri, Arial"/>
        <b/>
        <color rgb="FF000000"/>
        <sz val="11.0"/>
      </rPr>
      <t xml:space="preserve"> (4vials)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</si>
  <si>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 xml:space="preserve">      P2 (6 vials)</t>
    </r>
  </si>
  <si>
    <r>
      <rPr>
        <rFont val="Calibri"/>
        <b/>
        <color theme="1"/>
        <sz val="11.0"/>
      </rPr>
      <t xml:space="preserve">  </t>
    </r>
    <r>
      <rPr>
        <rFont val="Calibri"/>
        <b/>
        <color theme="1"/>
        <sz val="11.0"/>
      </rPr>
      <t xml:space="preserve">      P3 (6 vials)</t>
    </r>
  </si>
  <si>
    <t>A22</t>
  </si>
  <si>
    <t>Scissirostrum Dubium</t>
  </si>
  <si>
    <t>QGH16-04022/12687</t>
  </si>
  <si>
    <t>tried to grown @37 not result</t>
  </si>
  <si>
    <t>A23</t>
  </si>
  <si>
    <t>Lemur Catta</t>
  </si>
  <si>
    <t>QGH13-00741</t>
  </si>
  <si>
    <t>Contaminated to repeat!</t>
  </si>
  <si>
    <t>A24</t>
  </si>
  <si>
    <t>Otus Scops Scops</t>
  </si>
  <si>
    <t>MIG12-28179259/8751</t>
  </si>
  <si>
    <t xml:space="preserve">A25 </t>
  </si>
  <si>
    <t>17/7/2020</t>
  </si>
  <si>
    <t>Amazona Lilacina</t>
  </si>
  <si>
    <t>Fibros but not expanding. Try again</t>
  </si>
  <si>
    <t>A26</t>
  </si>
  <si>
    <t>20/7/2020</t>
  </si>
  <si>
    <t>Alytes Muletensis</t>
  </si>
  <si>
    <t>A27</t>
  </si>
  <si>
    <t>QGH20-05335</t>
  </si>
  <si>
    <t>dissection directly on plate and freeze</t>
  </si>
  <si>
    <t xml:space="preserve">Armida
</t>
  </si>
  <si>
    <r>
      <rPr>
        <rFont val="Calibri"/>
        <b/>
        <color theme="1"/>
        <sz val="11.0"/>
      </rPr>
      <t>P1</t>
    </r>
    <r>
      <rPr>
        <rFont val="Calibri"/>
        <b/>
        <color theme="1"/>
        <sz val="11.0"/>
      </rPr>
      <t xml:space="preserve"> (4 vials)</t>
    </r>
  </si>
  <si>
    <t xml:space="preserve">A28 </t>
  </si>
  <si>
    <t>21/7/2020</t>
  </si>
  <si>
    <t>Triton Del Montseny</t>
  </si>
  <si>
    <t>Tissue (paw)</t>
  </si>
  <si>
    <t>A29</t>
  </si>
  <si>
    <t>Hippopotamus amphibus</t>
  </si>
  <si>
    <t>BCN ZOO (frozen)</t>
  </si>
  <si>
    <t>Heart from 2012</t>
  </si>
  <si>
    <t>dissection, in culture + more frozen</t>
  </si>
  <si>
    <t>Isa</t>
  </si>
  <si>
    <t>necrotic-contaminated - tried 3 times</t>
  </si>
  <si>
    <t>A30</t>
  </si>
  <si>
    <t>Suricata suricatta</t>
  </si>
  <si>
    <t>Spleen from 2012</t>
  </si>
  <si>
    <t>A31</t>
  </si>
  <si>
    <t>Guanaco</t>
  </si>
  <si>
    <t>Tissue (ear)</t>
  </si>
  <si>
    <t>Dissection and freeze</t>
  </si>
  <si>
    <r>
      <rPr>
        <rFont val="Calibri, Arial"/>
        <b/>
        <color rgb="FF000000"/>
        <sz val="11.0"/>
      </rPr>
      <t xml:space="preserve">P1 </t>
    </r>
    <r>
      <rPr>
        <rFont val="Calibri, Arial"/>
        <b/>
        <color rgb="FF000000"/>
        <sz val="11.0"/>
      </rPr>
      <t>(1 vial)</t>
    </r>
  </si>
  <si>
    <r>
      <rPr>
        <rFont val="Arial"/>
        <b/>
        <color rgb="FF000000"/>
        <sz val="11.0"/>
      </rPr>
      <t>P2</t>
    </r>
    <r>
      <rPr>
        <rFont val="Arial"/>
        <b/>
        <color theme="1"/>
        <sz val="11.0"/>
      </rPr>
      <t xml:space="preserve"> (2vials)</t>
    </r>
  </si>
  <si>
    <t>Pellet for RNA</t>
  </si>
  <si>
    <r>
      <rPr>
        <rFont val="Arial"/>
        <b/>
        <color rgb="FF000000"/>
        <sz val="11.0"/>
      </rPr>
      <t>P3</t>
    </r>
    <r>
      <rPr>
        <rFont val="Arial"/>
        <b/>
        <color rgb="FF000000"/>
        <sz val="11.0"/>
      </rPr>
      <t>(2vials)</t>
    </r>
  </si>
  <si>
    <t>A32</t>
  </si>
  <si>
    <t>Panthera onca</t>
  </si>
  <si>
    <t>Rio safari Elche</t>
  </si>
  <si>
    <t>Tissue (skin)</t>
  </si>
  <si>
    <t>Dissection, in culture + freeze</t>
  </si>
  <si>
    <r>
      <rPr>
        <rFont val="Calibri"/>
        <b/>
        <color rgb="FF000000"/>
        <sz val="11.0"/>
      </rPr>
      <t>P1</t>
    </r>
    <r>
      <rPr>
        <rFont val="Calibri"/>
        <b/>
        <color theme="1"/>
        <sz val="11.0"/>
      </rPr>
      <t xml:space="preserve"> (3 vials)</t>
    </r>
  </si>
  <si>
    <t>NEGATIVE @P3</t>
  </si>
  <si>
    <r>
      <rPr>
        <rFont val="Calibri"/>
        <b/>
        <color rgb="FF000000"/>
        <sz val="11.0"/>
      </rPr>
      <t>P2</t>
    </r>
    <r>
      <rPr>
        <rFont val="Calibri"/>
        <b/>
        <color theme="1"/>
        <sz val="11.0"/>
      </rPr>
      <t xml:space="preserve"> (2 vials)</t>
    </r>
  </si>
  <si>
    <r>
      <rPr>
        <rFont val="Calibri"/>
        <b/>
        <color rgb="FF000000"/>
        <sz val="11.0"/>
      </rPr>
      <t>P3</t>
    </r>
    <r>
      <rPr>
        <rFont val="Calibri"/>
        <b/>
        <color theme="1"/>
        <sz val="11.0"/>
      </rPr>
      <t xml:space="preserve"> (3vials)</t>
    </r>
  </si>
  <si>
    <t>A33</t>
  </si>
  <si>
    <t>on going</t>
  </si>
  <si>
    <t xml:space="preserve">
</t>
  </si>
  <si>
    <t>A34</t>
  </si>
  <si>
    <t>Aepyceros melampus petersi</t>
  </si>
  <si>
    <t>AP20-00114 / 13729</t>
  </si>
  <si>
    <r>
      <rPr>
        <rFont val="Calibri"/>
        <b/>
        <color theme="1"/>
        <sz val="11.0"/>
      </rPr>
      <t>P0</t>
    </r>
    <r>
      <rPr>
        <rFont val="Calibri"/>
        <b/>
        <color theme="1"/>
        <sz val="11.0"/>
      </rPr>
      <t xml:space="preserve"> (1 vial)</t>
    </r>
  </si>
  <si>
    <t xml:space="preserve">Pellet DNA </t>
  </si>
  <si>
    <r>
      <rPr>
        <rFont val="Calibri"/>
        <b/>
        <color theme="1"/>
        <sz val="11.0"/>
      </rPr>
      <t>P1</t>
    </r>
    <r>
      <rPr>
        <rFont val="Calibri"/>
        <b/>
        <color theme="1"/>
        <sz val="11.0"/>
      </rPr>
      <t xml:space="preserve"> (1vial)</t>
    </r>
  </si>
  <si>
    <t>Pellet RNA</t>
  </si>
  <si>
    <r>
      <rPr>
        <rFont val="Arial"/>
        <b/>
        <color rgb="FF000000"/>
        <sz val="11.0"/>
      </rPr>
      <t>P2</t>
    </r>
    <r>
      <rPr>
        <rFont val="Arial"/>
        <b/>
        <color theme="1"/>
        <sz val="11.0"/>
      </rPr>
      <t xml:space="preserve"> (1 vial)</t>
    </r>
  </si>
  <si>
    <r>
      <rPr>
        <rFont val="Arial"/>
        <b/>
        <color rgb="FF000000"/>
        <sz val="11.0"/>
      </rPr>
      <t>P3</t>
    </r>
    <r>
      <rPr>
        <rFont val="Arial"/>
        <b/>
        <color theme="1"/>
        <sz val="11.0"/>
      </rPr>
      <t xml:space="preserve"> (2vials)</t>
    </r>
  </si>
  <si>
    <t>A35</t>
  </si>
  <si>
    <t>Hippopotamus amphibus***</t>
  </si>
  <si>
    <t>Necrotic + contaminated</t>
  </si>
  <si>
    <t>A36</t>
  </si>
  <si>
    <t>Aepyceros melampus petersi***</t>
  </si>
  <si>
    <t>QGH17-04591/BARCELONA / 13010</t>
  </si>
  <si>
    <t>Contaminated--&gt; to repeat</t>
  </si>
  <si>
    <t>A37</t>
  </si>
  <si>
    <t>Choeropsis liberiensis (hippopotamus)</t>
  </si>
  <si>
    <t>8759764/BARCELONA / 4173</t>
  </si>
  <si>
    <r>
      <rPr>
        <rFont val="Calibri"/>
        <b/>
        <color rgb="FF000000"/>
        <sz val="11.0"/>
      </rPr>
      <t xml:space="preserve">P1 </t>
    </r>
    <r>
      <rPr>
        <rFont val="Calibri"/>
        <b/>
        <color theme="1"/>
        <sz val="11.0"/>
      </rPr>
      <t>(2vials)</t>
    </r>
  </si>
  <si>
    <r>
      <rPr>
        <rFont val="Calibri"/>
        <b/>
        <color rgb="FF000000"/>
        <sz val="11.0"/>
      </rPr>
      <t>P2</t>
    </r>
    <r>
      <rPr>
        <rFont val="Calibri"/>
        <b/>
        <color theme="1"/>
        <sz val="11.0"/>
      </rPr>
      <t xml:space="preserve"> (2 vials)</t>
    </r>
  </si>
  <si>
    <r>
      <rPr>
        <rFont val="Calibri, Arial"/>
        <b/>
        <color rgb="FF000000"/>
        <sz val="11.0"/>
      </rPr>
      <t>P3</t>
    </r>
    <r>
      <rPr>
        <rFont val="Calibri, Arial"/>
        <b/>
        <color theme="1"/>
        <sz val="11.0"/>
      </rPr>
      <t xml:space="preserve"> (3 vials)</t>
    </r>
  </si>
  <si>
    <t>A38</t>
  </si>
  <si>
    <t>Ficedula Hypoleuca</t>
  </si>
  <si>
    <t>QGH20-05449-IA</t>
  </si>
  <si>
    <t>biopsia (3 vials)</t>
  </si>
  <si>
    <t>A39</t>
  </si>
  <si>
    <t>Lamprotornis superbus</t>
  </si>
  <si>
    <t>MIG12-28643043</t>
  </si>
  <si>
    <t>A40</t>
  </si>
  <si>
    <t>Erinaceus europaeus</t>
  </si>
  <si>
    <t>QGH20-05451-IA</t>
  </si>
  <si>
    <t>tried one time, contaminated, to repeat</t>
  </si>
  <si>
    <t>A41</t>
  </si>
  <si>
    <t>Ambistoma mexicanum</t>
  </si>
  <si>
    <t>MIG12-30088849</t>
  </si>
  <si>
    <t>biopsia (1 vials)</t>
  </si>
  <si>
    <t>A42</t>
  </si>
  <si>
    <t>Nycticorax Nycticorax 13733</t>
  </si>
  <si>
    <t>QGH20-05437/13733</t>
  </si>
  <si>
    <t>A43</t>
  </si>
  <si>
    <t>Nycticorax Nycticorax 13728</t>
  </si>
  <si>
    <t>QGH20-05427/BARCELONA / 13724</t>
  </si>
  <si>
    <t>A44</t>
  </si>
  <si>
    <t>Ammotragus lervia fassini</t>
  </si>
  <si>
    <t>QGH20-05466/13759</t>
  </si>
  <si>
    <t>placenta only red part</t>
  </si>
  <si>
    <t>biopsia (3vials)</t>
  </si>
  <si>
    <t>A45</t>
  </si>
  <si>
    <t>Ammotragus lervia fassini 144</t>
  </si>
  <si>
    <t>QGH20-05470-IA</t>
  </si>
  <si>
    <r>
      <rPr>
        <rFont val="Arial"/>
        <b/>
        <color rgb="FF000000"/>
        <sz val="11.0"/>
      </rPr>
      <t>P1</t>
    </r>
    <r>
      <rPr>
        <rFont val="Arial"/>
        <b/>
        <color theme="1"/>
        <sz val="11.0"/>
      </rPr>
      <t xml:space="preserve"> (3 vials)</t>
    </r>
  </si>
  <si>
    <r>
      <rPr>
        <rFont val="Arial"/>
        <b/>
        <color rgb="FF000000"/>
        <sz val="11.0"/>
      </rPr>
      <t>P3</t>
    </r>
    <r>
      <rPr>
        <rFont val="Arial"/>
        <b/>
        <color theme="1"/>
        <sz val="11.0"/>
      </rPr>
      <t xml:space="preserve"> (1vial)</t>
    </r>
  </si>
  <si>
    <t>A46</t>
  </si>
  <si>
    <t>Ammotragus lervia fassini 143</t>
  </si>
  <si>
    <t>QGH20-05469-IA</t>
  </si>
  <si>
    <r>
      <rPr>
        <rFont val="Calibri, Arial"/>
        <b/>
        <color rgb="FF000000"/>
        <sz val="11.0"/>
      </rPr>
      <t>P1</t>
    </r>
    <r>
      <rPr>
        <rFont val="Calibri, Arial"/>
        <b/>
        <color rgb="FF000000"/>
        <sz val="11.0"/>
      </rPr>
      <t xml:space="preserve"> (2 vials) </t>
    </r>
  </si>
  <si>
    <t>Pellet DNA</t>
  </si>
  <si>
    <r>
      <rPr>
        <rFont val="Calibri, Arial"/>
        <b/>
        <color theme="1"/>
        <sz val="11.0"/>
      </rPr>
      <t>P2</t>
    </r>
    <r>
      <rPr>
        <rFont val="Calibri, Arial"/>
        <b/>
        <color theme="1"/>
        <sz val="11.0"/>
      </rPr>
      <t xml:space="preserve"> (2 vials)</t>
    </r>
  </si>
  <si>
    <r>
      <rPr>
        <rFont val="Calibri, Arial"/>
        <b/>
        <color theme="1"/>
        <sz val="11.0"/>
      </rPr>
      <t>P3</t>
    </r>
    <r>
      <rPr>
        <rFont val="Calibri, Arial"/>
        <b/>
        <color theme="1"/>
        <sz val="11.0"/>
      </rPr>
      <t>(2 vials)</t>
    </r>
  </si>
  <si>
    <t>A47</t>
  </si>
  <si>
    <t>Nycticorax Nycticorax 13724</t>
  </si>
  <si>
    <t>QGH20-05427/13724</t>
  </si>
  <si>
    <t>A48</t>
  </si>
  <si>
    <t>Giraffa camelopardalis angolensis</t>
  </si>
  <si>
    <t>GGW12-00029</t>
  </si>
  <si>
    <t xml:space="preserve">Tissue </t>
  </si>
  <si>
    <t xml:space="preserve">P1 </t>
  </si>
  <si>
    <t>P2 (2 vials)</t>
  </si>
  <si>
    <t>P3(4 vials)</t>
  </si>
  <si>
    <t>P6 (1 vial)</t>
  </si>
  <si>
    <t>A49</t>
  </si>
  <si>
    <t>Agapurnis nigrigenis</t>
  </si>
  <si>
    <t xml:space="preserve">tissue </t>
  </si>
  <si>
    <t>A50</t>
  </si>
  <si>
    <t>Mungos mungo</t>
  </si>
  <si>
    <t>Growing @ 37C</t>
  </si>
  <si>
    <t>biopsia (1 vial)</t>
  </si>
  <si>
    <r>
      <rPr>
        <rFont val="Calibri, Arial"/>
        <b/>
        <color rgb="FF000000"/>
        <sz val="11.0"/>
      </rPr>
      <t xml:space="preserve">P1 </t>
    </r>
    <r>
      <rPr>
        <rFont val="Calibri, Arial"/>
        <b/>
        <color theme="1"/>
        <sz val="11.0"/>
      </rPr>
      <t>(1 vial)</t>
    </r>
  </si>
  <si>
    <r>
      <rPr>
        <rFont val="Calibri, Arial"/>
        <b/>
        <color rgb="FF000000"/>
        <sz val="11.0"/>
      </rPr>
      <t>P2</t>
    </r>
    <r>
      <rPr>
        <rFont val="Calibri, Arial"/>
        <b/>
        <color theme="1"/>
        <sz val="11.0"/>
      </rPr>
      <t xml:space="preserve"> (4 vials)</t>
    </r>
  </si>
  <si>
    <r>
      <rPr>
        <rFont val="Calibri, Arial"/>
        <b/>
        <color rgb="FF000000"/>
        <sz val="11.0"/>
      </rPr>
      <t>P3</t>
    </r>
    <r>
      <rPr>
        <rFont val="Calibri, Arial"/>
        <b/>
        <color theme="1"/>
        <sz val="11.0"/>
      </rPr>
      <t xml:space="preserve"> (3vials)</t>
    </r>
  </si>
  <si>
    <t>A51</t>
  </si>
  <si>
    <t>Hamadryas baboon ***</t>
  </si>
  <si>
    <t>Copenaghen Zoo</t>
  </si>
  <si>
    <t>tongue/ear</t>
  </si>
  <si>
    <t>A52</t>
  </si>
  <si>
    <t>Hammerhead shark***</t>
  </si>
  <si>
    <t>muscle/liver</t>
  </si>
  <si>
    <t>A53</t>
  </si>
  <si>
    <t>Indian Elephant ***</t>
  </si>
  <si>
    <t>muscle/heart</t>
  </si>
  <si>
    <t>A54</t>
  </si>
  <si>
    <t>Red Panda***</t>
  </si>
  <si>
    <t>tongue/ovary</t>
  </si>
  <si>
    <t>A55</t>
  </si>
  <si>
    <t>Armadillo***</t>
  </si>
  <si>
    <t>Marcelle Naturaleza</t>
  </si>
  <si>
    <t>vesícula/riñón/adrenal/estómago/duodeno/colon/pulmón/corazón//páncreas</t>
  </si>
  <si>
    <t>Frozen samples in the sampe package, we can not identify the processed tissue. Bacteria contamination in some cultures, pen/strep washes the next days.</t>
  </si>
  <si>
    <t>A56</t>
  </si>
  <si>
    <t>Bisonte Americano***</t>
  </si>
  <si>
    <t>Testículo/Abomaso/ID/Rumen/bazo/vesícular biliar/retículo/riñón/corazón/colon descendente</t>
  </si>
  <si>
    <t>BA3 bag.Frozen samples in the sampe package, we can not identify the processed tissue. Bacteria contamination in some cultures, pen/strep washes the next days.</t>
  </si>
  <si>
    <t>A57</t>
  </si>
  <si>
    <t>Puercoespin Africano***</t>
  </si>
  <si>
    <t>corazón/pulmón/tráquea/esófago/intestinodelgado/ciego/hígado/bazo</t>
  </si>
  <si>
    <t>PC2 bag.Frozen samples in the sampe package, we can not identify the processed tissue. Bacteria contamination in some cultures, pen/strep washes the next days.</t>
  </si>
  <si>
    <t>A58</t>
  </si>
  <si>
    <t>Mangosta rallada***</t>
  </si>
  <si>
    <t>adrenales/riñón/bazo/pancreas/yeyuno/colón/testículo/estómago/hígao/pulmón/tráquea y esofago/ corazón/tiroides/extremidad delanterar derecha.</t>
  </si>
  <si>
    <t>Ref. Number:956000004338502. Male.Frozen samples in the sampe package, we can not identify the processed tissue. Bacteria contamination in some cultures, pen/strep washes the next days.</t>
  </si>
  <si>
    <t>A59</t>
  </si>
  <si>
    <t>Surricata***</t>
  </si>
  <si>
    <t>Hígado/estómago/ID/colon/bazo/riñón/corazón/pulmón/ovario/útero/esófago</t>
  </si>
  <si>
    <t>SU1 bag.Ref.Number:981098102623735Frozen samples in the sampe package, we can not identify the processed tissue. Bacteria contamination in some cultures, pen/strep washes the next days.</t>
  </si>
  <si>
    <t>A60</t>
  </si>
  <si>
    <t>Hydrochoerus hydrochaeris</t>
  </si>
  <si>
    <t>MIG12-28055016/10868</t>
  </si>
  <si>
    <t>piel</t>
  </si>
  <si>
    <t>Contaminated...trashed 19.11</t>
  </si>
  <si>
    <t>"Capyraba"</t>
  </si>
  <si>
    <t>A61</t>
  </si>
  <si>
    <t>Rino blanco</t>
  </si>
  <si>
    <t>Parque de la Naturaleza Caberceno</t>
  </si>
  <si>
    <t>A62</t>
  </si>
  <si>
    <t>Monchi 1</t>
  </si>
  <si>
    <t>A63</t>
  </si>
  <si>
    <t>Monchi 2</t>
  </si>
  <si>
    <t>A64</t>
  </si>
  <si>
    <t>Suncus Etruscus</t>
  </si>
  <si>
    <t xml:space="preserve"> Praga Zoo</t>
  </si>
  <si>
    <t>legs/heart/chest/head/tail</t>
  </si>
  <si>
    <t xml:space="preserve">Dissection, in culture </t>
  </si>
  <si>
    <t>No sample left</t>
  </si>
  <si>
    <t>A65</t>
  </si>
  <si>
    <t>27181719/8940</t>
  </si>
  <si>
    <t>Skin</t>
  </si>
  <si>
    <t>fibros @day 4</t>
  </si>
  <si>
    <t>P0 (1 vial)</t>
  </si>
  <si>
    <t>Pellet DNA  x2</t>
  </si>
  <si>
    <t>P1 (2 vials)</t>
  </si>
  <si>
    <t>Pellet RNA  x2</t>
  </si>
  <si>
    <t xml:space="preserve">   P2 (4 vials)</t>
  </si>
  <si>
    <t xml:space="preserve">   P3 (2 vials)</t>
  </si>
  <si>
    <t>A66</t>
  </si>
  <si>
    <t>Black crested mangabey</t>
  </si>
  <si>
    <t>Zoo Safari Elche</t>
  </si>
  <si>
    <t>Dissection, in culture</t>
  </si>
  <si>
    <t>very small piece, in culture all in 2 wells. One got contaminated the day after, the other one at day 3 ...nothing left.</t>
  </si>
  <si>
    <t>A67</t>
  </si>
  <si>
    <t>Impala</t>
  </si>
  <si>
    <t>QGH19-05174/13498</t>
  </si>
  <si>
    <t>Ear</t>
  </si>
  <si>
    <t>P3 (5 vials)</t>
  </si>
  <si>
    <t>A68</t>
  </si>
  <si>
    <t xml:space="preserve"> Geronticus Eremita</t>
  </si>
  <si>
    <t>Zoologico Jerez de la Frontera</t>
  </si>
  <si>
    <t>Tissue/muscle</t>
  </si>
  <si>
    <t>A69</t>
  </si>
  <si>
    <t>Geronticus Eremita</t>
  </si>
  <si>
    <t>A70</t>
  </si>
  <si>
    <t>Dolochites patagonum</t>
  </si>
  <si>
    <t>Dissection- freeze</t>
  </si>
  <si>
    <t>biopsia  (piel?)= 3 cryotubes</t>
  </si>
  <si>
    <t>P2 (2 cryotube)</t>
  </si>
  <si>
    <t>P3 (3 cryotube)</t>
  </si>
  <si>
    <t>A71</t>
  </si>
  <si>
    <t>Aldabrachelys gigantea</t>
  </si>
  <si>
    <t>QGH19-05103/JEREZ / ALDABRA2</t>
  </si>
  <si>
    <t>look like there is a contamination</t>
  </si>
  <si>
    <r>
      <rPr>
        <rFont val="Calibri, Arial"/>
        <color theme="1"/>
        <sz val="11.0"/>
      </rPr>
      <t xml:space="preserve">biopsia= 3 cryotubes. </t>
    </r>
    <r>
      <rPr>
        <rFont val="Calibri, Arial"/>
        <color rgb="FFFF0000"/>
        <sz val="11.0"/>
      </rPr>
      <t>No sample left?</t>
    </r>
  </si>
  <si>
    <t>A72</t>
  </si>
  <si>
    <t>Jaguar</t>
  </si>
  <si>
    <t>Tissue (dermal biopsy)</t>
  </si>
  <si>
    <t>Perfect cut</t>
  </si>
  <si>
    <t>biopsy= 3 cryotubes</t>
  </si>
  <si>
    <t>fibros @day 5</t>
  </si>
  <si>
    <t>A73</t>
  </si>
  <si>
    <t>Ateles hybridus</t>
  </si>
  <si>
    <t xml:space="preserve">MIG12-28734764/6040 </t>
  </si>
  <si>
    <t>Placenta</t>
  </si>
  <si>
    <t>2 pellets</t>
  </si>
  <si>
    <t>A74</t>
  </si>
  <si>
    <t>Addax</t>
  </si>
  <si>
    <t>Blood 4ml</t>
  </si>
  <si>
    <t>PMBc isolation</t>
  </si>
  <si>
    <t>A75</t>
  </si>
  <si>
    <t>Tito Alba</t>
  </si>
  <si>
    <t>biopsy=2 cryotubes</t>
  </si>
  <si>
    <t>A76</t>
  </si>
  <si>
    <t>Saguinus imperator subgrisescens</t>
  </si>
  <si>
    <t>27780193/BARCELONA / 11295</t>
  </si>
  <si>
    <t>Fibros @ day 6</t>
  </si>
  <si>
    <r>
      <rPr>
        <rFont val="Calibri, Arial"/>
        <b/>
        <color theme="1"/>
        <sz val="11.0"/>
      </rPr>
      <t>P3</t>
    </r>
    <r>
      <rPr>
        <rFont val="Calibri, Arial"/>
        <b/>
        <color theme="1"/>
        <sz val="11.0"/>
      </rPr>
      <t xml:space="preserve"> (1 tubes)</t>
    </r>
  </si>
  <si>
    <t>A77</t>
  </si>
  <si>
    <t>QGH17-04651/BARCELONA / 13040</t>
  </si>
  <si>
    <r>
      <rPr>
        <rFont val="Calibri, Arial"/>
        <b/>
        <color theme="1"/>
        <sz val="11.0"/>
      </rPr>
      <t>P2</t>
    </r>
    <r>
      <rPr>
        <rFont val="Calibri, Arial"/>
        <b/>
        <color theme="1"/>
        <sz val="11.0"/>
      </rPr>
      <t xml:space="preserve"> (2 vials)</t>
    </r>
  </si>
  <si>
    <r>
      <rPr>
        <rFont val="Calibri, Arial"/>
        <b/>
        <color theme="1"/>
        <sz val="11.0"/>
      </rPr>
      <t>P3</t>
    </r>
    <r>
      <rPr>
        <rFont val="Calibri, Arial"/>
        <b/>
        <color theme="1"/>
        <sz val="11.0"/>
      </rPr>
      <t xml:space="preserve"> (1 tubes)</t>
    </r>
  </si>
  <si>
    <t>A78</t>
  </si>
  <si>
    <t>Oryx gazella</t>
  </si>
  <si>
    <t>ORGA-02</t>
  </si>
  <si>
    <t>biopsy=3 cryotubes</t>
  </si>
  <si>
    <t>4 pellets</t>
  </si>
  <si>
    <t>(P1 2 cryotube)</t>
  </si>
  <si>
    <t>(P4 3 cryotube)</t>
  </si>
  <si>
    <t>A79</t>
  </si>
  <si>
    <t>Gazella cuvieri</t>
  </si>
  <si>
    <t>Cuvier1</t>
  </si>
  <si>
    <t>fibros @ day 6</t>
  </si>
  <si>
    <r>
      <rPr>
        <rFont val="Calibri, Arial"/>
        <b/>
        <color theme="1"/>
        <sz val="11.0"/>
      </rPr>
      <t>P2</t>
    </r>
    <r>
      <rPr>
        <rFont val="Calibri, Arial"/>
        <b/>
        <color theme="1"/>
        <sz val="11.0"/>
      </rPr>
      <t xml:space="preserve"> (2 vials)</t>
    </r>
  </si>
  <si>
    <r>
      <rPr>
        <rFont val="Calibri, Arial"/>
        <b/>
        <color theme="1"/>
        <sz val="11.0"/>
      </rPr>
      <t xml:space="preserve">P4 </t>
    </r>
    <r>
      <rPr>
        <rFont val="Calibri, Arial"/>
        <b/>
        <color theme="1"/>
        <sz val="11.0"/>
      </rPr>
      <t>(2 vials)</t>
    </r>
  </si>
  <si>
    <t>A80</t>
  </si>
  <si>
    <t>Ciconia Ciconia</t>
  </si>
  <si>
    <t>CRAS 21/21</t>
  </si>
  <si>
    <t>fibros @ day 6 Cont?</t>
  </si>
  <si>
    <t>A81</t>
  </si>
  <si>
    <t>Callithrix geoffroyi</t>
  </si>
  <si>
    <t>TGD16-00658/ JEREZ TG5</t>
  </si>
  <si>
    <t>fibros</t>
  </si>
  <si>
    <t>P1 ( 1cryotube)</t>
  </si>
  <si>
    <t>A82</t>
  </si>
  <si>
    <t>Terrapene nelsoni</t>
  </si>
  <si>
    <t>FRW17-00798/JEREZ TENE06</t>
  </si>
  <si>
    <t>A83</t>
  </si>
  <si>
    <t>Torreferrusa</t>
  </si>
  <si>
    <t>OR192, Any 2012, male</t>
  </si>
  <si>
    <t>Tissues</t>
  </si>
  <si>
    <t>Biopsy= tail 2cryotubes</t>
  </si>
  <si>
    <t>muscle / toes / tongue/ skin</t>
  </si>
  <si>
    <t>A84</t>
  </si>
  <si>
    <t>Nanger Dama</t>
  </si>
  <si>
    <t>biopsia skin</t>
  </si>
  <si>
    <t>A85</t>
  </si>
  <si>
    <t xml:space="preserve">biopsia ear </t>
  </si>
  <si>
    <t>fibros @day 8</t>
  </si>
  <si>
    <t>P1 (1 vial)</t>
  </si>
  <si>
    <t>2 pellet</t>
  </si>
  <si>
    <t>P3 (2 vials)</t>
  </si>
  <si>
    <t>P4 (2 vial)</t>
  </si>
  <si>
    <t>A86</t>
  </si>
  <si>
    <t>IE2023-VVM20-02434</t>
  </si>
  <si>
    <t>biopsia</t>
  </si>
  <si>
    <t>A87</t>
  </si>
  <si>
    <t>Marmaronetta Angustirostris</t>
  </si>
  <si>
    <t>CEP12-24953210</t>
  </si>
  <si>
    <t>Dissection,  freeze</t>
  </si>
  <si>
    <t>A88</t>
  </si>
  <si>
    <t>Stigmochelys pardalis</t>
  </si>
  <si>
    <t>PAR-5-FRW18-00897</t>
  </si>
  <si>
    <t>A89</t>
  </si>
  <si>
    <t>Gallinula chloropus</t>
  </si>
  <si>
    <t>CRAS 25/21</t>
  </si>
  <si>
    <t xml:space="preserve"> biopsy (3 cryotubes)</t>
  </si>
  <si>
    <t>A90</t>
  </si>
  <si>
    <t>Saguinus oedipus</t>
  </si>
  <si>
    <t>FRW20-01066     SO06</t>
  </si>
  <si>
    <t>Fibros @ day 14</t>
  </si>
  <si>
    <t>biopsy (1 cryotube)</t>
  </si>
  <si>
    <t>P2 (3 cryotube)</t>
  </si>
  <si>
    <t>A91</t>
  </si>
  <si>
    <t>Chamaeleo chamaeleon</t>
  </si>
  <si>
    <t>CRAS 663/20</t>
  </si>
  <si>
    <t>To repeat</t>
  </si>
  <si>
    <t>A92</t>
  </si>
  <si>
    <t>Cercocebus lunulatus</t>
  </si>
  <si>
    <t>QGH16-04243</t>
  </si>
  <si>
    <t>Fibros</t>
  </si>
  <si>
    <t xml:space="preserve">              biopsy (1 cryotube)</t>
  </si>
  <si>
    <t>P4 (1 cryotube)</t>
  </si>
  <si>
    <t>A93</t>
  </si>
  <si>
    <t>Eurasian spoonbill</t>
  </si>
  <si>
    <t>QGH16-02512</t>
  </si>
  <si>
    <t>to repeat</t>
  </si>
  <si>
    <t>biopsy (2 cryotube)</t>
  </si>
  <si>
    <t>A94</t>
  </si>
  <si>
    <t>Ammotragus lervia</t>
  </si>
  <si>
    <t>QGH21-05618</t>
  </si>
  <si>
    <t xml:space="preserve">Biopsia </t>
  </si>
  <si>
    <t>1 cryotube p1</t>
  </si>
  <si>
    <t>A95</t>
  </si>
  <si>
    <t>Leopardus pardalis</t>
  </si>
  <si>
    <t>OCE2</t>
  </si>
  <si>
    <t xml:space="preserve">Cont! 3 times in culture </t>
  </si>
  <si>
    <t>A96</t>
  </si>
  <si>
    <t>Gazella dorcas osiris</t>
  </si>
  <si>
    <t>GDO333</t>
  </si>
  <si>
    <t>A97</t>
  </si>
  <si>
    <t>Bennet Macropus rufogriseus</t>
  </si>
  <si>
    <t>A98</t>
  </si>
  <si>
    <t>Nyctalus leisleri</t>
  </si>
  <si>
    <t>CRAS 33/21</t>
  </si>
  <si>
    <t>no cryotube*</t>
  </si>
  <si>
    <t>(small)</t>
  </si>
  <si>
    <t>A99</t>
  </si>
  <si>
    <t>Apus pallidus</t>
  </si>
  <si>
    <t>CRAS 45/21</t>
  </si>
  <si>
    <t>no fibros, contamination</t>
  </si>
  <si>
    <t>A100</t>
  </si>
  <si>
    <t>Psophia crepitans</t>
  </si>
  <si>
    <t>TROMP01</t>
  </si>
  <si>
    <t>Fibros @ day 4? Cont?</t>
  </si>
  <si>
    <t>A101</t>
  </si>
  <si>
    <t>Ciconia ciconia</t>
  </si>
  <si>
    <t>CRAS 47/21</t>
  </si>
  <si>
    <t>fibros @day 3</t>
  </si>
  <si>
    <t xml:space="preserve"> P2 (1 cryotube)</t>
  </si>
  <si>
    <t>P3 (1 cryotube)</t>
  </si>
  <si>
    <t>A102</t>
  </si>
  <si>
    <t>QGH16-04193</t>
  </si>
  <si>
    <t>P1 (1 Cryotube)</t>
  </si>
  <si>
    <t>P2 (1 cryotube)</t>
  </si>
  <si>
    <t>A103</t>
  </si>
  <si>
    <t>MIG12-29918008</t>
  </si>
  <si>
    <t>A104</t>
  </si>
  <si>
    <t>Netta peposaca</t>
  </si>
  <si>
    <t>17967857/BARCELONA / 8374</t>
  </si>
  <si>
    <t>biopsia traquea</t>
  </si>
  <si>
    <t>fibros @ day 3</t>
  </si>
  <si>
    <t>A105</t>
  </si>
  <si>
    <t>Lutra lutra</t>
  </si>
  <si>
    <t>biopsia ( 2 vials)</t>
  </si>
  <si>
    <t>A106</t>
  </si>
  <si>
    <t>Gallineta chloropus</t>
  </si>
  <si>
    <t>CRAS 56/21</t>
  </si>
  <si>
    <t>A107</t>
  </si>
  <si>
    <t>Butorides striata</t>
  </si>
  <si>
    <t>QGH17-04483/BARCELONA / 12948</t>
  </si>
  <si>
    <t>Fibros (retray samples)</t>
  </si>
  <si>
    <t>A108</t>
  </si>
  <si>
    <t>FRW17-00799</t>
  </si>
  <si>
    <t>Armida/ Ona</t>
  </si>
  <si>
    <t>A109</t>
  </si>
  <si>
    <t>RMC17-00248/BARCELONA / 13814</t>
  </si>
  <si>
    <t>biopsia left forelimb</t>
  </si>
  <si>
    <t>Fibros @day 4</t>
  </si>
  <si>
    <t>A110</t>
  </si>
  <si>
    <t>Chlamydosaurus kingii</t>
  </si>
  <si>
    <t>A111</t>
  </si>
  <si>
    <t>Vencejo común (Apus apus)</t>
  </si>
  <si>
    <t>55/21</t>
  </si>
  <si>
    <t>Biopsia</t>
  </si>
  <si>
    <t>Biopsia ( 2 vials)</t>
  </si>
  <si>
    <t>A112</t>
  </si>
  <si>
    <t>Añade real</t>
  </si>
  <si>
    <t>EC 11/21</t>
  </si>
  <si>
    <t>Dissection, freeze</t>
  </si>
  <si>
    <t>biopsia (  2 vials)</t>
  </si>
  <si>
    <t>A113</t>
  </si>
  <si>
    <t>Vencejo pálido (Apus pallidus).</t>
  </si>
  <si>
    <t>CRAS 58/21</t>
  </si>
  <si>
    <t>cont</t>
  </si>
  <si>
    <t>A114</t>
  </si>
  <si>
    <t>Plegasid falcinellus</t>
  </si>
  <si>
    <t>42/21</t>
  </si>
  <si>
    <t xml:space="preserve">fibros growing p1 not expanding </t>
  </si>
  <si>
    <t>A115</t>
  </si>
  <si>
    <t>Tragelaphus spekii</t>
  </si>
  <si>
    <t>Aquarium Madrid</t>
  </si>
  <si>
    <t>MIG12-28842211</t>
  </si>
  <si>
    <t>Biopsia (placenta)</t>
  </si>
  <si>
    <t>fibros @ day 4?</t>
  </si>
  <si>
    <t>biopsia (  3 vials)</t>
  </si>
  <si>
    <t>A116</t>
  </si>
  <si>
    <t xml:space="preserve">Orangutan (Pongo) </t>
  </si>
  <si>
    <t>Antoine Blancher (Chris Tyler-Smith)</t>
  </si>
  <si>
    <t>A117</t>
  </si>
  <si>
    <t>Hirundo rustica</t>
  </si>
  <si>
    <t>CRAS 60/21</t>
  </si>
  <si>
    <t>A118</t>
  </si>
  <si>
    <t>Streptopelia decaocto</t>
  </si>
  <si>
    <t>CRAS 65/21</t>
  </si>
  <si>
    <t>P1 (1 cryotube) P0 (1CT) P4 (1CT)</t>
  </si>
  <si>
    <t>A119</t>
  </si>
  <si>
    <t>Plegadis falcinellus</t>
  </si>
  <si>
    <t>CRAS 67/21</t>
  </si>
  <si>
    <t>A120</t>
  </si>
  <si>
    <t>Columba livia</t>
  </si>
  <si>
    <t>CRAS 68/21</t>
  </si>
  <si>
    <t>A121</t>
  </si>
  <si>
    <t xml:space="preserve"> Conejo Oryctolagus cuniculus</t>
  </si>
  <si>
    <t>SM2</t>
  </si>
  <si>
    <t>error on the cryotube, there is #115</t>
  </si>
  <si>
    <t>A122</t>
  </si>
  <si>
    <t>Verderón Carduelis chloris</t>
  </si>
  <si>
    <t>CRAS 75/21</t>
  </si>
  <si>
    <t>error on the cryotube, there is #116</t>
  </si>
  <si>
    <t>A123</t>
  </si>
  <si>
    <t>Paloma torcaz Columba palumbus</t>
  </si>
  <si>
    <t>SM4</t>
  </si>
  <si>
    <t>error on the cryotube, there is #117</t>
  </si>
  <si>
    <t>A124</t>
  </si>
  <si>
    <t>Espátula Platalea leucorida</t>
  </si>
  <si>
    <t>SM1</t>
  </si>
  <si>
    <t>error on the cryotube, there is #118</t>
  </si>
  <si>
    <t>A125</t>
  </si>
  <si>
    <t>Martinete Nycticorax nycticoras</t>
  </si>
  <si>
    <t>SM3</t>
  </si>
  <si>
    <t>error on the cryotube, there is #119</t>
  </si>
  <si>
    <t>A126</t>
  </si>
  <si>
    <t>Cigüeña blanca Ciconia ciconia</t>
  </si>
  <si>
    <t>CRAS 78/21</t>
  </si>
  <si>
    <t>error on the cryotube, there is #120</t>
  </si>
  <si>
    <t>A127</t>
  </si>
  <si>
    <t xml:space="preserve">Sanguinus imperator </t>
  </si>
  <si>
    <t xml:space="preserve">BCN ZOO </t>
  </si>
  <si>
    <t>A76(11295)same specimen</t>
  </si>
  <si>
    <t>fibros 26/05</t>
  </si>
  <si>
    <t>P2 (2 ct)</t>
  </si>
  <si>
    <t>A128</t>
  </si>
  <si>
    <t>Nycticorax Nycticorax</t>
  </si>
  <si>
    <t>13854/QGH21-05659</t>
  </si>
  <si>
    <t>fibros 04.06</t>
  </si>
  <si>
    <t>A129</t>
  </si>
  <si>
    <t>QGH19-05221/ BARCELONA / 13544</t>
  </si>
  <si>
    <t>P2 (1ct)</t>
  </si>
  <si>
    <t>A130</t>
  </si>
  <si>
    <t>MIG12-29016886/BARCELONA / 10860</t>
  </si>
  <si>
    <t>Biopsia (oreja)</t>
  </si>
  <si>
    <t xml:space="preserve">Isa </t>
  </si>
  <si>
    <t>fibros  02.06</t>
  </si>
  <si>
    <t>P3 (1 ct)</t>
  </si>
  <si>
    <t>A131</t>
  </si>
  <si>
    <t>Geronticus eremita</t>
  </si>
  <si>
    <t>SN1</t>
  </si>
  <si>
    <t>dissection + 2 cryotubes</t>
  </si>
  <si>
    <t>A132</t>
  </si>
  <si>
    <t>Eliomys quercinus</t>
  </si>
  <si>
    <t>CRAS 133/21</t>
  </si>
  <si>
    <t>fibros @ day 3 and 5</t>
  </si>
  <si>
    <t>3CT p2</t>
  </si>
  <si>
    <t>(5 pieces for tube, total 4 cryotubes)</t>
  </si>
  <si>
    <t>A133</t>
  </si>
  <si>
    <t>GDO379</t>
  </si>
  <si>
    <t>A134</t>
  </si>
  <si>
    <t>Carduelis carduelis</t>
  </si>
  <si>
    <t>A135</t>
  </si>
  <si>
    <t>Delichon urbica</t>
  </si>
  <si>
    <t>CRAS 111/21</t>
  </si>
  <si>
    <t xml:space="preserve">cont </t>
  </si>
  <si>
    <t>A136</t>
  </si>
  <si>
    <t>Cobo lichi</t>
  </si>
  <si>
    <t xml:space="preserve">Blood </t>
  </si>
  <si>
    <t>PBMC (2 cryoutubes)</t>
  </si>
  <si>
    <t>A137</t>
  </si>
  <si>
    <t>Bisonte</t>
  </si>
  <si>
    <t>BI-37</t>
  </si>
  <si>
    <t>Blood</t>
  </si>
  <si>
    <t>A138</t>
  </si>
  <si>
    <t>Salmo salar</t>
  </si>
  <si>
    <t xml:space="preserve">                                                                                                                                                                                                                                   </t>
  </si>
  <si>
    <t>Kidney- reproductive tissue-heart</t>
  </si>
  <si>
    <t>Fibros @ day 3 (from skin)</t>
  </si>
  <si>
    <t>dorsal fin</t>
  </si>
  <si>
    <t>(5 pieces for tube, total 3 cryotubes)</t>
  </si>
  <si>
    <t>(5 pieces for tube, total 6 cryotubes)</t>
  </si>
  <si>
    <t>A139</t>
  </si>
  <si>
    <t>Zoo Madrid</t>
  </si>
  <si>
    <t xml:space="preserve">Placenta </t>
  </si>
  <si>
    <t>2 different falcons with placenta, 2CT per falcon with same number (139-1, 139-2)</t>
  </si>
  <si>
    <t>A140</t>
  </si>
  <si>
    <t>Elephas maximus</t>
  </si>
  <si>
    <t>PBMC (1 cryoutubes)</t>
  </si>
  <si>
    <t>A141</t>
  </si>
  <si>
    <t>JLG15-00724</t>
  </si>
  <si>
    <t>A142</t>
  </si>
  <si>
    <t>PBMC ( 5 cryoutubes)</t>
  </si>
  <si>
    <t>A143</t>
  </si>
  <si>
    <t>Camelus bactranius</t>
  </si>
  <si>
    <t>MG12-28066788/BARCELONA / 8336</t>
  </si>
  <si>
    <t>Tissue ear</t>
  </si>
  <si>
    <t>1 cryoutubes</t>
  </si>
  <si>
    <t>A144</t>
  </si>
  <si>
    <t>Spheniscidae</t>
  </si>
  <si>
    <t>3 cryotubes</t>
  </si>
  <si>
    <t>1 cryotube p2</t>
  </si>
  <si>
    <t>Pingüino</t>
  </si>
  <si>
    <t>1 cryotube p3</t>
  </si>
  <si>
    <t>A145</t>
  </si>
  <si>
    <t>Carcharhinus amblyrhynchos</t>
  </si>
  <si>
    <t>TG-05</t>
  </si>
  <si>
    <t>Grey shark</t>
  </si>
  <si>
    <t>Gonade</t>
  </si>
  <si>
    <t>A146</t>
  </si>
  <si>
    <t>Tragelaphus eurycerus</t>
  </si>
  <si>
    <t>QGH19-05305/BARCELONA / 13622</t>
  </si>
  <si>
    <t>skin very small</t>
  </si>
  <si>
    <t>no biopsia left</t>
  </si>
  <si>
    <t>Antilope</t>
  </si>
  <si>
    <t>A147</t>
  </si>
  <si>
    <t>Aepyceros melampus</t>
  </si>
  <si>
    <t>QGH21-05739/ BARCELONA / 13905</t>
  </si>
  <si>
    <t xml:space="preserve">placenta </t>
  </si>
  <si>
    <t>Fibros not growing well. No expanded. Trash</t>
  </si>
  <si>
    <t>A148</t>
  </si>
  <si>
    <t>Gacela dorcas</t>
  </si>
  <si>
    <t>WKP15-00424/ BARCELONA / 13589</t>
  </si>
  <si>
    <t>2 cryotubes p1</t>
  </si>
  <si>
    <t>A149</t>
  </si>
  <si>
    <t>Ailurus fulgens</t>
  </si>
  <si>
    <t>panda rojo</t>
  </si>
  <si>
    <t>A150</t>
  </si>
  <si>
    <t>A151</t>
  </si>
  <si>
    <t>Tortuga boba pequena</t>
  </si>
  <si>
    <t>Acuario Gijon</t>
  </si>
  <si>
    <t>PBMC</t>
  </si>
  <si>
    <t>A152</t>
  </si>
  <si>
    <t>Tortuga boba grande</t>
  </si>
  <si>
    <t>A153</t>
  </si>
  <si>
    <t>Ursus thibetanus</t>
  </si>
  <si>
    <t>OT4</t>
  </si>
  <si>
    <t xml:space="preserve">Re- try samples </t>
  </si>
  <si>
    <t>Isa/Silvia</t>
  </si>
  <si>
    <r>
      <rPr>
        <rFont val="Calibri"/>
        <color theme="1"/>
        <sz val="11.0"/>
      </rPr>
      <t xml:space="preserve">Try again/ </t>
    </r>
    <r>
      <rPr>
        <rFont val="Calibri"/>
        <b/>
        <color rgb="FF1155CC"/>
        <sz val="11.0"/>
      </rPr>
      <t>Fibros</t>
    </r>
  </si>
  <si>
    <t>2P0 2P1 3P2</t>
  </si>
  <si>
    <t>A154</t>
  </si>
  <si>
    <t>Lophocebus aterrimus</t>
  </si>
  <si>
    <t>Zoo safari Elche</t>
  </si>
  <si>
    <t>QVG16-00005/ELCHE SAF / 1301</t>
  </si>
  <si>
    <t>Try again</t>
  </si>
  <si>
    <t>(mangabey de cresta negra)</t>
  </si>
  <si>
    <t>A155</t>
  </si>
  <si>
    <t>Halcyon malimbica</t>
  </si>
  <si>
    <t>BCN Zoo</t>
  </si>
  <si>
    <t>QGH15-02460/:BARCELONA / 12615</t>
  </si>
  <si>
    <t>Paw</t>
  </si>
  <si>
    <t>@no fibros</t>
  </si>
  <si>
    <t>A156</t>
  </si>
  <si>
    <t>MIG12-29591142/BARCELONA / 11341</t>
  </si>
  <si>
    <t xml:space="preserve">@no fibros </t>
  </si>
  <si>
    <t>1 cryotube</t>
  </si>
  <si>
    <t>A157</t>
  </si>
  <si>
    <t>A158</t>
  </si>
  <si>
    <t>Dromaius novaehollandiae</t>
  </si>
  <si>
    <t>2 cryotubes</t>
  </si>
  <si>
    <t>A159</t>
  </si>
  <si>
    <t>Sus scrofa</t>
  </si>
  <si>
    <t>A160</t>
  </si>
  <si>
    <t>Macropus rufogriseus</t>
  </si>
  <si>
    <t>WKP21-01924</t>
  </si>
  <si>
    <t>@fibros day 3</t>
  </si>
  <si>
    <t>Petrogale xanthopus</t>
  </si>
  <si>
    <t>A161</t>
  </si>
  <si>
    <t>Artibeus jamaicensis</t>
  </si>
  <si>
    <t>A162</t>
  </si>
  <si>
    <t>MC21</t>
  </si>
  <si>
    <t>A163</t>
  </si>
  <si>
    <t>Mandrillus sphinx</t>
  </si>
  <si>
    <t>WKP21-01923</t>
  </si>
  <si>
    <t>Skin- Uterus</t>
  </si>
  <si>
    <t>@fibros at day 5</t>
  </si>
  <si>
    <t>(P5 2 cryotubes)</t>
  </si>
  <si>
    <t>3 cryotubes Skin- 2 cryotubes uterus</t>
  </si>
  <si>
    <t>A164</t>
  </si>
  <si>
    <t>Otario de patagonia (león marino)</t>
  </si>
  <si>
    <t xml:space="preserve">Zoo Madrid </t>
  </si>
  <si>
    <t>LMA-29</t>
  </si>
  <si>
    <t xml:space="preserve">Skin - ovary </t>
  </si>
  <si>
    <t>@fibros at day 7</t>
  </si>
  <si>
    <t>2 cryotubes Skin- 2 cryotubes ovary</t>
  </si>
  <si>
    <t>A165</t>
  </si>
  <si>
    <t>Miopithecus ogounensis (talapoin)</t>
  </si>
  <si>
    <t>QGH21-05798/ BARCELONA / 13935</t>
  </si>
  <si>
    <t>cont. Try again. Fibros 16/9. EGF2 (no change). 28/9 FBM.</t>
  </si>
  <si>
    <t xml:space="preserve">3CT </t>
  </si>
  <si>
    <t>A166</t>
  </si>
  <si>
    <t>Aepycerus Melampus (Impala)</t>
  </si>
  <si>
    <t>QGH21-05797</t>
  </si>
  <si>
    <t>cont. Try again. Fibros 27/9</t>
  </si>
  <si>
    <t xml:space="preserve">2CT </t>
  </si>
  <si>
    <t>A167</t>
  </si>
  <si>
    <t>Gacela Dorcas</t>
  </si>
  <si>
    <t>29435071/BARCELONA / 13096</t>
  </si>
  <si>
    <t>ear</t>
  </si>
  <si>
    <t>Fibros day 11.</t>
  </si>
  <si>
    <t>(P2 3 cryotube)</t>
  </si>
  <si>
    <t>2CT</t>
  </si>
  <si>
    <t>4CT biopsia</t>
  </si>
  <si>
    <t>A168</t>
  </si>
  <si>
    <t>Lama Guanicoe (guanaco)</t>
  </si>
  <si>
    <t>1 CT p0, 2 CT p2, 3 CT p3</t>
  </si>
  <si>
    <t>A169</t>
  </si>
  <si>
    <t>Oryx dammah</t>
  </si>
  <si>
    <t>cont fungi. Fibros 15/9</t>
  </si>
  <si>
    <t>(P4 1 cryotube)</t>
  </si>
  <si>
    <t xml:space="preserve">                                3CT </t>
  </si>
  <si>
    <t>1CT fibros from biopsy, 1CT p0, 2 CT p2</t>
  </si>
  <si>
    <t>A170</t>
  </si>
  <si>
    <t>Eulemur fulvus mayottensis</t>
  </si>
  <si>
    <t>Madrid Zoo</t>
  </si>
  <si>
    <t>1CT fibros from biopsy</t>
  </si>
  <si>
    <t>(P2 2 cryotube)</t>
  </si>
  <si>
    <t>A171</t>
  </si>
  <si>
    <t>BCN zoo</t>
  </si>
  <si>
    <t>MIG12-28152170</t>
  </si>
  <si>
    <t>fibros appearing 8/9</t>
  </si>
  <si>
    <t>1 CT from biopsy, 1CT p1, expanding p2</t>
  </si>
  <si>
    <t>A172</t>
  </si>
  <si>
    <t>fibros appearing 13/9</t>
  </si>
  <si>
    <t>1CT fibros from biopsy, 1 CT p1, 2 CT p2</t>
  </si>
  <si>
    <t>A173</t>
  </si>
  <si>
    <t>Varano</t>
  </si>
  <si>
    <t>QGH18-0489</t>
  </si>
  <si>
    <t>skin?</t>
  </si>
  <si>
    <t>cont!</t>
  </si>
  <si>
    <t xml:space="preserve">nail </t>
  </si>
  <si>
    <t>2CT skin + 1 CT nail</t>
  </si>
  <si>
    <t>A174</t>
  </si>
  <si>
    <t>Cercopithecus neglectus</t>
  </si>
  <si>
    <t>26674024/13192</t>
  </si>
  <si>
    <t>fibros 14/9</t>
  </si>
  <si>
    <t>(P0 1 cryotube)</t>
  </si>
  <si>
    <t>no CT</t>
  </si>
  <si>
    <t>Expanding p0</t>
  </si>
  <si>
    <t>A175</t>
  </si>
  <si>
    <t>Ailuropoda melanoleuca</t>
  </si>
  <si>
    <t>ZOO MADRID</t>
  </si>
  <si>
    <t>WKP21-01929?</t>
  </si>
  <si>
    <t>cordón umbilical</t>
  </si>
  <si>
    <t>fibros appearing 14/9</t>
  </si>
  <si>
    <t xml:space="preserve">Cont </t>
  </si>
  <si>
    <t>pequeño</t>
  </si>
  <si>
    <t>A176</t>
  </si>
  <si>
    <t>(P0 2 cryotube)</t>
  </si>
  <si>
    <t>WKP21-01928?</t>
  </si>
  <si>
    <t>Expanding p1</t>
  </si>
  <si>
    <t>(P1 1cryotube)</t>
  </si>
  <si>
    <t>grande</t>
  </si>
  <si>
    <t>( P2 2cryotubes)</t>
  </si>
  <si>
    <t>(P3 1 cryotube)</t>
  </si>
  <si>
    <t>A177</t>
  </si>
  <si>
    <t>Buho rival</t>
  </si>
  <si>
    <t>traquea</t>
  </si>
  <si>
    <t>3CT skin + 2 CT traquea</t>
  </si>
  <si>
    <t>A178</t>
  </si>
  <si>
    <t>Tritó del montseny</t>
  </si>
  <si>
    <t>larva</t>
  </si>
  <si>
    <t>Isa / Armida</t>
  </si>
  <si>
    <t>@trying matrigel, gelatin and non-coated wells</t>
  </si>
  <si>
    <t>with alphaMEM:FBM at 28ºC</t>
  </si>
  <si>
    <t>A179</t>
  </si>
  <si>
    <t>@non-coated plate with alphaMEM:FBM at 28ºC</t>
  </si>
  <si>
    <t>A180</t>
  </si>
  <si>
    <t>CRAS 365/21</t>
  </si>
  <si>
    <t>Fibros 28/9   To repeat from biopsia</t>
  </si>
  <si>
    <t>1 CT</t>
  </si>
  <si>
    <t>A181</t>
  </si>
  <si>
    <t>Phoenicopterus roseus</t>
  </si>
  <si>
    <t>FRW21-01235</t>
  </si>
  <si>
    <t>A182</t>
  </si>
  <si>
    <t>Connochaetes taurinus</t>
  </si>
  <si>
    <t>Fibros 8/10</t>
  </si>
  <si>
    <t>3CT</t>
  </si>
  <si>
    <t>(P1 2 cryotubes)</t>
  </si>
  <si>
    <t>A183</t>
  </si>
  <si>
    <t>Cercocebus torquatus</t>
  </si>
  <si>
    <t>QGH14-02193</t>
  </si>
  <si>
    <t>P1 1 cryotube</t>
  </si>
  <si>
    <t>P2 1 cryotube</t>
  </si>
  <si>
    <t>P3 1 cryotube</t>
  </si>
  <si>
    <t>A184</t>
  </si>
  <si>
    <t>Testudo hermanni hermanni</t>
  </si>
  <si>
    <t>fibros 8/11/2021</t>
  </si>
  <si>
    <t>RPMI1640/FCS medium</t>
  </si>
  <si>
    <t>RPMI1640/FCS</t>
  </si>
  <si>
    <t>A185</t>
  </si>
  <si>
    <t>ARATINGA SOLSTITIALIS</t>
  </si>
  <si>
    <t>1CT traquea</t>
  </si>
  <si>
    <t xml:space="preserve">   AlfaMEM/FBM</t>
  </si>
  <si>
    <t>1CT skin</t>
  </si>
  <si>
    <t>A186</t>
  </si>
  <si>
    <t>06/10121</t>
  </si>
  <si>
    <t>QGH16-04259/12875</t>
  </si>
  <si>
    <t>fibros 18/10</t>
  </si>
  <si>
    <t>A187</t>
  </si>
  <si>
    <t>Áteles hybridus</t>
  </si>
  <si>
    <t>16879/2354</t>
  </si>
  <si>
    <t>A188</t>
  </si>
  <si>
    <t>Calotriton arnoldi</t>
  </si>
  <si>
    <t>Larva</t>
  </si>
  <si>
    <t>A189</t>
  </si>
  <si>
    <t>Pan troglodytes</t>
  </si>
  <si>
    <t>Rio Safari Elche</t>
  </si>
  <si>
    <t>QVG16-00019</t>
  </si>
  <si>
    <t>Skin biopsy/ EDTA blood/Serum</t>
  </si>
  <si>
    <t>Armida/Isa</t>
  </si>
  <si>
    <t>P1  1 cryotuve</t>
  </si>
  <si>
    <t>Blood used to prepare karyotipe</t>
  </si>
  <si>
    <t>A190</t>
  </si>
  <si>
    <t>QVG16-00023</t>
  </si>
  <si>
    <t>A191</t>
  </si>
  <si>
    <t>QVG16-00022</t>
  </si>
  <si>
    <t>A192</t>
  </si>
  <si>
    <t>QVG16-00018</t>
  </si>
  <si>
    <t>A193</t>
  </si>
  <si>
    <t>NO sample</t>
  </si>
  <si>
    <t>A194</t>
  </si>
  <si>
    <t>Lyle's flying fox</t>
  </si>
  <si>
    <t xml:space="preserve"> Skin biopsy (ear/ skin?)</t>
  </si>
  <si>
    <t>Dissection, in culture/freeze</t>
  </si>
  <si>
    <t>DMEM/F12, 15%FBS</t>
  </si>
  <si>
    <t>3CT (2 fragments each one)</t>
  </si>
  <si>
    <t>fibros 5 days / CT p0</t>
  </si>
  <si>
    <t>A195</t>
  </si>
  <si>
    <t>Suricata Suricatta</t>
  </si>
  <si>
    <t>ZOO Madrid</t>
  </si>
  <si>
    <t>MIG12-28842317</t>
  </si>
  <si>
    <t xml:space="preserve"> Skin biopsy(trachea/ skin)</t>
  </si>
  <si>
    <t>Sira/Isa</t>
  </si>
  <si>
    <t>3CT (3fragments each one)</t>
  </si>
  <si>
    <t>Trachea</t>
  </si>
  <si>
    <t>fibros 5 days / CT p0, p1, p2</t>
  </si>
  <si>
    <t>Cont, discard</t>
  </si>
  <si>
    <t>A196</t>
  </si>
  <si>
    <t>Patagonian Mara</t>
  </si>
  <si>
    <t>WKP21-01890</t>
  </si>
  <si>
    <t>Skin biopsy (ear/ingle)</t>
  </si>
  <si>
    <t>3CT (3 fragments each one)</t>
  </si>
  <si>
    <t>No fibros</t>
  </si>
  <si>
    <t>A197</t>
  </si>
  <si>
    <t>Panthera Leo</t>
  </si>
  <si>
    <t>26130694 BARCELONA / 8939</t>
  </si>
  <si>
    <t>fibros day 6</t>
  </si>
  <si>
    <t>P0  1 Cryotube</t>
  </si>
  <si>
    <t>3 CT with 5 pieces each</t>
  </si>
  <si>
    <t>P1  1 cryotube</t>
  </si>
  <si>
    <t>A198</t>
  </si>
  <si>
    <t>Cercocebus Torquatus? ES lunulatus</t>
  </si>
  <si>
    <t>MIG12-29917992/ BARCELONA / 10539</t>
  </si>
  <si>
    <t>Cont. No sample left</t>
  </si>
  <si>
    <t>A199</t>
  </si>
  <si>
    <t>Netta Rufina</t>
  </si>
  <si>
    <t>PC028</t>
  </si>
  <si>
    <t>@fibros day 5</t>
  </si>
  <si>
    <t>A200</t>
  </si>
  <si>
    <t>Pinna Nobilis</t>
  </si>
  <si>
    <t>whole specimen?</t>
  </si>
  <si>
    <t>Dissection, in culture /freeze</t>
  </si>
  <si>
    <t>Culture sample 1</t>
  </si>
  <si>
    <t>Sample 3 (5 CT, 2 PART1 and 3 PART2)</t>
  </si>
  <si>
    <t>Sampe  2 (2CT)</t>
  </si>
  <si>
    <t>A201</t>
  </si>
  <si>
    <t>4ml Blood in EDTA</t>
  </si>
  <si>
    <t>4 cryotubes PBMc</t>
  </si>
  <si>
    <t>A202</t>
  </si>
  <si>
    <t>Gorilla gorilla</t>
  </si>
  <si>
    <t>Hair</t>
  </si>
  <si>
    <t>A203</t>
  </si>
  <si>
    <t>Pleurodeles walt</t>
  </si>
  <si>
    <t>CSIC</t>
  </si>
  <si>
    <t>larvas</t>
  </si>
  <si>
    <t xml:space="preserve">2 cryotubes </t>
  </si>
  <si>
    <t>A204</t>
  </si>
  <si>
    <t>MIG12-29654178</t>
  </si>
  <si>
    <t>ear/ skin</t>
  </si>
  <si>
    <t>fibros 9/11</t>
  </si>
  <si>
    <t>1CT skin + 1CT ear</t>
  </si>
  <si>
    <t>A205</t>
  </si>
  <si>
    <t>Panthera pardus kotiya</t>
  </si>
  <si>
    <t>fibros 11/11</t>
  </si>
  <si>
    <t>@ add ITS 100x</t>
  </si>
  <si>
    <t>A206</t>
  </si>
  <si>
    <t xml:space="preserve"> QGH16-04193</t>
  </si>
  <si>
    <t>(two samples same specimen A102)</t>
  </si>
  <si>
    <t>A207</t>
  </si>
  <si>
    <t>Nanger dama mhorr</t>
  </si>
  <si>
    <t>QGH20-05342/13650</t>
  </si>
  <si>
    <t xml:space="preserve">   AlfaMEM</t>
  </si>
  <si>
    <t>(two samples same specimen)</t>
  </si>
  <si>
    <t>A208</t>
  </si>
  <si>
    <t>Rangifer tarandus</t>
  </si>
  <si>
    <t>MIG12-29480586</t>
  </si>
  <si>
    <t>ear/skin/ovaries</t>
  </si>
  <si>
    <t>*CT biopsias pone 218</t>
  </si>
  <si>
    <t>2CT ear (2pieces) / 1 CT skin / 2CT per ovary</t>
  </si>
  <si>
    <t>A209</t>
  </si>
  <si>
    <t>Pandion haliaetus</t>
  </si>
  <si>
    <t>PES5</t>
  </si>
  <si>
    <t>Cont.</t>
  </si>
  <si>
    <t>A210</t>
  </si>
  <si>
    <t>Scolopax rusticola</t>
  </si>
  <si>
    <t>CRAS 509/21</t>
  </si>
  <si>
    <t>(no sample let)</t>
  </si>
  <si>
    <t>A211</t>
  </si>
  <si>
    <t>ERIZO1</t>
  </si>
  <si>
    <t xml:space="preserve">@Isa try again </t>
  </si>
  <si>
    <t>A212</t>
  </si>
  <si>
    <t>Turdus philomelos</t>
  </si>
  <si>
    <t>CRAS 504/21</t>
  </si>
  <si>
    <t>A213</t>
  </si>
  <si>
    <t>skin/tail/eyes</t>
  </si>
  <si>
    <t>DMEM</t>
  </si>
  <si>
    <t>1CT eye + 1 CT tail</t>
  </si>
  <si>
    <t>A214</t>
  </si>
  <si>
    <t>Ateles hybrydus (mono araña)</t>
  </si>
  <si>
    <t>121663/QGH16-02496</t>
  </si>
  <si>
    <t>aMEM</t>
  </si>
  <si>
    <t>No fibros.</t>
  </si>
  <si>
    <t>(no CT)</t>
  </si>
  <si>
    <t>A215</t>
  </si>
  <si>
    <t>Gacela Mhorr</t>
  </si>
  <si>
    <t>13640/ZIMS?</t>
  </si>
  <si>
    <t>@fibros d9</t>
  </si>
  <si>
    <t>(no CT, small biopsy)</t>
  </si>
  <si>
    <t>A216</t>
  </si>
  <si>
    <t>13650/QGH20-05342</t>
  </si>
  <si>
    <t>A217</t>
  </si>
  <si>
    <t>Jaguar Lola (Panthera onca)</t>
  </si>
  <si>
    <t>RMC17-00248</t>
  </si>
  <si>
    <t>aMEM 1 well</t>
  </si>
  <si>
    <t>aMEM+ITS 1 well</t>
  </si>
  <si>
    <t>A218</t>
  </si>
  <si>
    <t xml:space="preserve">*CT biopsias pone 218 pero es la muestra 208 </t>
  </si>
  <si>
    <t>A219</t>
  </si>
  <si>
    <t>White-napped Mangabey</t>
  </si>
  <si>
    <t>small skin biopsy</t>
  </si>
  <si>
    <t xml:space="preserve">   AlfaMEM:FBM</t>
  </si>
  <si>
    <t>@fibros d10</t>
  </si>
  <si>
    <t>(two samples same specimen/A92)</t>
  </si>
  <si>
    <t>A220</t>
  </si>
  <si>
    <t>Salvis</t>
  </si>
  <si>
    <t>skin/leg/tongue/tail</t>
  </si>
  <si>
    <t>@FBM, DMEM/F12, L15</t>
  </si>
  <si>
    <t>1CT each</t>
  </si>
  <si>
    <t>at 28ºC</t>
  </si>
  <si>
    <t>A221</t>
  </si>
  <si>
    <t>Sitatunga</t>
  </si>
  <si>
    <t>@fibros d6</t>
  </si>
  <si>
    <t>1CT</t>
  </si>
  <si>
    <t>A222</t>
  </si>
  <si>
    <t>hyena</t>
  </si>
  <si>
    <t>MIG12-29918001</t>
  </si>
  <si>
    <t>A223</t>
  </si>
  <si>
    <t>Acuario de Gijon</t>
  </si>
  <si>
    <t>DMEM/F12,L15</t>
  </si>
  <si>
    <t>A224</t>
  </si>
  <si>
    <t>Syngnathus acus (hembra)</t>
  </si>
  <si>
    <t>A225</t>
  </si>
  <si>
    <t>Scyliorhinus stellaris (macho)</t>
  </si>
  <si>
    <t>A226</t>
  </si>
  <si>
    <t>Chimpancé</t>
  </si>
  <si>
    <t>MIG12-30088854/4368</t>
  </si>
  <si>
    <t xml:space="preserve">skin </t>
  </si>
  <si>
    <t>Fibros 2CT p0   1CT p1</t>
  </si>
  <si>
    <t>A227</t>
  </si>
  <si>
    <t>Gacela dorcas osiris</t>
  </si>
  <si>
    <t>WKP15-00424/AP21-00223</t>
  </si>
  <si>
    <t>@fibros d4</t>
  </si>
  <si>
    <t>A228</t>
  </si>
  <si>
    <t>MIG12-29435073/AP21-00224</t>
  </si>
  <si>
    <t>@cont. fungi</t>
  </si>
  <si>
    <t>A229</t>
  </si>
  <si>
    <t>Nycoticorax</t>
  </si>
  <si>
    <t>QGH18-04841</t>
  </si>
  <si>
    <t>tendons</t>
  </si>
  <si>
    <t>A230</t>
  </si>
  <si>
    <t>Ibis sagrado</t>
  </si>
  <si>
    <t>piel y traquea</t>
  </si>
  <si>
    <t>@fibros d4 traquea</t>
  </si>
  <si>
    <t>A231</t>
  </si>
  <si>
    <t>flamenco (Phoenicopterus ruber)</t>
  </si>
  <si>
    <t>@tejido no fresco</t>
  </si>
  <si>
    <t>A232</t>
  </si>
  <si>
    <t>Tyto alba (lechuza)</t>
  </si>
  <si>
    <t>1 CT p0, 2CT p1 and 1 CT p2</t>
  </si>
  <si>
    <t>Cont?</t>
  </si>
  <si>
    <t>A233</t>
  </si>
  <si>
    <t xml:space="preserve">Uromastyx acanthinura </t>
  </si>
  <si>
    <t>MIG12-29661834/11362</t>
  </si>
  <si>
    <t>@DMEM+20%FBS</t>
  </si>
  <si>
    <t>fibros d11</t>
  </si>
  <si>
    <t>A234</t>
  </si>
  <si>
    <t>Panda rojo</t>
  </si>
  <si>
    <t>QGH13-01156/11932</t>
  </si>
  <si>
    <t>fibros d5</t>
  </si>
  <si>
    <t>A235</t>
  </si>
  <si>
    <t>Eudocimus ruber</t>
  </si>
  <si>
    <t>MIG12-28706350</t>
  </si>
  <si>
    <t>A236</t>
  </si>
  <si>
    <t>Otario de patagonia</t>
  </si>
  <si>
    <t>MIG12-29480708/Z / LMA38</t>
  </si>
  <si>
    <t>ear + skin</t>
  </si>
  <si>
    <t>A237</t>
  </si>
  <si>
    <t>frotis nasal + gengival + skin biopsy</t>
  </si>
  <si>
    <t>in culture, no CT</t>
  </si>
  <si>
    <t>@nasal: DMEM10%FBS (on gel)</t>
  </si>
  <si>
    <t>Cont fungi! Trash</t>
  </si>
  <si>
    <t>@bucal: FBM</t>
  </si>
  <si>
    <t>@biopsy: aMEM</t>
  </si>
  <si>
    <t xml:space="preserve">Fibros p0 </t>
  </si>
  <si>
    <t xml:space="preserve">silvia </t>
  </si>
  <si>
    <t xml:space="preserve">2 vials P0 fibros stored </t>
  </si>
  <si>
    <t>A238</t>
  </si>
  <si>
    <t>Panthera leo</t>
  </si>
  <si>
    <t>in culture, 2CT</t>
  </si>
  <si>
    <t>@tissue sent dry (no media)</t>
  </si>
  <si>
    <t>fibros day 5</t>
  </si>
  <si>
    <t>A239</t>
  </si>
  <si>
    <t>Axis Axis</t>
  </si>
  <si>
    <t>QGH14-02142</t>
  </si>
  <si>
    <t>A240</t>
  </si>
  <si>
    <t>Tiburón</t>
  </si>
  <si>
    <t>Gynglimostoma cirratum/Female</t>
  </si>
  <si>
    <t>skin + utero</t>
  </si>
  <si>
    <t>in culture, 3CT each</t>
  </si>
  <si>
    <t>@coating with gelatin</t>
  </si>
  <si>
    <t>Fibros skin LDF</t>
  </si>
  <si>
    <t>@2 conditions: DMEM-f12 and LDf</t>
  </si>
  <si>
    <t>@28ºC</t>
  </si>
  <si>
    <t>A241</t>
  </si>
  <si>
    <t>Jerez</t>
  </si>
  <si>
    <t>4858688/JEREZ / MC2</t>
  </si>
  <si>
    <t>A242</t>
  </si>
  <si>
    <t>Uromastyx acantiuia</t>
  </si>
  <si>
    <t>QGH20-05511/13788</t>
  </si>
  <si>
    <t>A243</t>
  </si>
  <si>
    <t>Colius striatus</t>
  </si>
  <si>
    <t>QGH21-05850</t>
  </si>
  <si>
    <t>A244</t>
  </si>
  <si>
    <t>heosemys spinosa</t>
  </si>
  <si>
    <t>6169827/7683</t>
  </si>
  <si>
    <t>@sample from 05.01</t>
  </si>
  <si>
    <t>A245</t>
  </si>
  <si>
    <t>oryx hembra</t>
  </si>
  <si>
    <t>QGH20-05339/13648</t>
  </si>
  <si>
    <t>small biopsy, no CT</t>
  </si>
  <si>
    <t>A246</t>
  </si>
  <si>
    <t>oryx</t>
  </si>
  <si>
    <t>QGH20-05394/13692</t>
  </si>
  <si>
    <t>A247</t>
  </si>
  <si>
    <t>phachoeros africanus "pumba"</t>
  </si>
  <si>
    <t>MIG12-28621074/11036</t>
  </si>
  <si>
    <t>in culture, 4CT</t>
  </si>
  <si>
    <t>@sample from 07.01</t>
  </si>
  <si>
    <t>Fibros starting 17/1</t>
  </si>
  <si>
    <t>A248</t>
  </si>
  <si>
    <t>guaraba guarouba</t>
  </si>
  <si>
    <t>MIG12-28325141</t>
  </si>
  <si>
    <t>A249</t>
  </si>
  <si>
    <t>Tiburon bambú</t>
  </si>
  <si>
    <t>skin and uterus</t>
  </si>
  <si>
    <t>in culture, 2CT each</t>
  </si>
  <si>
    <t>Death Date:6/1 Sample collection Date:10/1</t>
  </si>
  <si>
    <t>Chiloscyllium punctatum</t>
  </si>
  <si>
    <t>A250</t>
  </si>
  <si>
    <t>Aguila calva (Haliaeetus leucocephalus)</t>
  </si>
  <si>
    <t>skin and traquea</t>
  </si>
  <si>
    <t>in culture, 1CT each</t>
  </si>
  <si>
    <t>Fibros skin+traquea</t>
  </si>
  <si>
    <t>@gelatin coating. 2 conditions: LDF and DMEM</t>
  </si>
  <si>
    <t>A251</t>
  </si>
  <si>
    <t>Plegadus falcinellus</t>
  </si>
  <si>
    <t xml:space="preserve">Fribros </t>
  </si>
  <si>
    <t xml:space="preserve">Cong 2 cryotubos P1 </t>
  </si>
  <si>
    <t>A252</t>
  </si>
  <si>
    <t xml:space="preserve">Tiburon ocelado </t>
  </si>
  <si>
    <t>in culture, 2CT skin, 1 CT uterus</t>
  </si>
  <si>
    <t>A253</t>
  </si>
  <si>
    <t>Ptilinopus melanospilus</t>
  </si>
  <si>
    <t>MIG12-28149323</t>
  </si>
  <si>
    <t>A254</t>
  </si>
  <si>
    <t>ZDW17-03177/13500</t>
  </si>
  <si>
    <t>A255</t>
  </si>
  <si>
    <t>Zenaida graysoni</t>
  </si>
  <si>
    <t>DMP17-00807/13762</t>
  </si>
  <si>
    <t>A256</t>
  </si>
  <si>
    <t>Caroba</t>
  </si>
  <si>
    <t xml:space="preserve">Jerez </t>
  </si>
  <si>
    <t>CRAS 03/22</t>
  </si>
  <si>
    <t>skin+traquea</t>
  </si>
  <si>
    <t>Strix aluco</t>
  </si>
  <si>
    <t>A257</t>
  </si>
  <si>
    <t>Eurypyga helias</t>
  </si>
  <si>
    <t>TPC14-02438/12461</t>
  </si>
  <si>
    <t>A258</t>
  </si>
  <si>
    <t>suricatta suricatta</t>
  </si>
  <si>
    <t>AP22-00022</t>
  </si>
  <si>
    <t>A259</t>
  </si>
  <si>
    <t>AP22-00023</t>
  </si>
  <si>
    <t>A260</t>
  </si>
  <si>
    <t>Equus uagga</t>
  </si>
  <si>
    <t>QGH16-04272/BARCELONA / 12887</t>
  </si>
  <si>
    <t>A261</t>
  </si>
  <si>
    <t>Musophaga Violacea</t>
  </si>
  <si>
    <t>NGK18-00247/BARCELONA / 13586</t>
  </si>
  <si>
    <t>Cont. Trash</t>
  </si>
  <si>
    <t>A262</t>
  </si>
  <si>
    <t>Capra Hircus</t>
  </si>
  <si>
    <t>QGH22-05906-IA</t>
  </si>
  <si>
    <t>@sample from 28.01</t>
  </si>
  <si>
    <t>A263</t>
  </si>
  <si>
    <t>Platalea leucorodia</t>
  </si>
  <si>
    <t>MIG12-28179109/BARCELONA7847</t>
  </si>
  <si>
    <t>DMEM20% + fgf2 40 ng/ml</t>
  </si>
  <si>
    <t>si</t>
  </si>
  <si>
    <t>1 P0 3 P1 1 P2</t>
  </si>
  <si>
    <t>Crescen lentos</t>
  </si>
  <si>
    <t>A264</t>
  </si>
  <si>
    <t>Paleosunchus palpebrosus</t>
  </si>
  <si>
    <t>MIG12-29661824/BARCELONA / 11356</t>
  </si>
  <si>
    <t>@DMEM-20%FBS</t>
  </si>
  <si>
    <t>NO SUCCESS</t>
  </si>
  <si>
    <t>A265</t>
  </si>
  <si>
    <t>27921801/MADRID Z / LM11</t>
  </si>
  <si>
    <t>alphamem complete</t>
  </si>
  <si>
    <t>2 P0, 2 P1 and 2 P2</t>
  </si>
  <si>
    <t>A266</t>
  </si>
  <si>
    <t>Gallicolumba luzonica</t>
  </si>
  <si>
    <t>15949977/11634</t>
  </si>
  <si>
    <t xml:space="preserve">Cont. </t>
  </si>
  <si>
    <t>A267</t>
  </si>
  <si>
    <t>Panthera tigris sumatrae</t>
  </si>
  <si>
    <t>24000056/24000056</t>
  </si>
  <si>
    <t>in culture, small biopsy (no CT)</t>
  </si>
  <si>
    <t>A268</t>
  </si>
  <si>
    <t>Varanus parsinus</t>
  </si>
  <si>
    <t>BHG15-00445/BARCELONA / 12643</t>
  </si>
  <si>
    <t>FBM + fgf2 40 ng/ml</t>
  </si>
  <si>
    <t>SI</t>
  </si>
  <si>
    <t xml:space="preserve">Split but they do not attached </t>
  </si>
  <si>
    <t xml:space="preserve">Tirato  split p0, porque los fibros no crecian ni en matrigel </t>
  </si>
  <si>
    <t>A269</t>
  </si>
  <si>
    <t>QGH15-02472/BARCELONA / 12639</t>
  </si>
  <si>
    <t>A270</t>
  </si>
  <si>
    <t>Capra hircus rasquera</t>
  </si>
  <si>
    <t>QGH22-05914/BARCELONA / 13989</t>
  </si>
  <si>
    <t>2 P0, 2 P1 2P2</t>
  </si>
  <si>
    <t>A271</t>
  </si>
  <si>
    <t>Ciervo de Padre David</t>
  </si>
  <si>
    <t>23574543/ BARCELONA / 255</t>
  </si>
  <si>
    <t>2 P0, 2 P1 2 P2</t>
  </si>
  <si>
    <t>A272</t>
  </si>
  <si>
    <t>Talapoin</t>
  </si>
  <si>
    <t>YRV19-03423/13504/BARCELONA</t>
  </si>
  <si>
    <t>FBM + 20 ng/ml fgf2</t>
  </si>
  <si>
    <t xml:space="preserve">Isa and silvia </t>
  </si>
  <si>
    <t>no</t>
  </si>
  <si>
    <t xml:space="preserve">tirado </t>
  </si>
  <si>
    <t>A273</t>
  </si>
  <si>
    <t>Loris arcoiris</t>
  </si>
  <si>
    <t xml:space="preserve">ZOO de Madrid </t>
  </si>
  <si>
    <t>WKP17-01371/ MADRID Z / LOR64</t>
  </si>
  <si>
    <t xml:space="preserve">no crescen </t>
  </si>
  <si>
    <t>PERSON</t>
  </si>
  <si>
    <t>DNA extr.</t>
  </si>
  <si>
    <t>RNA extr</t>
  </si>
  <si>
    <t>Note</t>
  </si>
  <si>
    <t xml:space="preserve">A274 </t>
  </si>
  <si>
    <t>Papion</t>
  </si>
  <si>
    <t>Sira/Silvia</t>
  </si>
  <si>
    <t>1 P0, 1 P1 and 2 P2</t>
  </si>
  <si>
    <t xml:space="preserve">si </t>
  </si>
  <si>
    <t>A275</t>
  </si>
  <si>
    <t>Elephant</t>
  </si>
  <si>
    <t>durezas pie</t>
  </si>
  <si>
    <t>alphamem complete +20 ng/ml FGF2</t>
  </si>
  <si>
    <t xml:space="preserve"> Silvia</t>
  </si>
  <si>
    <t xml:space="preserve">tirada la placa </t>
  </si>
  <si>
    <t>A276</t>
  </si>
  <si>
    <t>QGH12-00003/11425</t>
  </si>
  <si>
    <t>In culture, 1CT</t>
  </si>
  <si>
    <t xml:space="preserve">Silvia </t>
  </si>
  <si>
    <t>Contaminado!!!!!</t>
  </si>
  <si>
    <t>A277</t>
  </si>
  <si>
    <t xml:space="preserve">Lophocebus aterrimus </t>
  </si>
  <si>
    <t>RIO SAFARI ELCHE</t>
  </si>
  <si>
    <t>MIG12-28090305/ELCHE SAF / 1337</t>
  </si>
  <si>
    <t>In culture, 1 CT</t>
  </si>
  <si>
    <t>A278</t>
  </si>
  <si>
    <t xml:space="preserve">Gorilla </t>
  </si>
  <si>
    <t xml:space="preserve">Zoo barcelona </t>
  </si>
  <si>
    <t>QGH15-02323</t>
  </si>
  <si>
    <t xml:space="preserve">Skin + nasal + bocal </t>
  </si>
  <si>
    <t xml:space="preserve">In culture </t>
  </si>
  <si>
    <t>alphamem complete on Gelatin 0.1%</t>
  </si>
  <si>
    <t>SIra</t>
  </si>
  <si>
    <t xml:space="preserve">si from skin  and nasal </t>
  </si>
  <si>
    <t>2 P0,2P1,2P2, 2P3 from skin, 2P0 from nasal</t>
  </si>
  <si>
    <t>Negative</t>
  </si>
  <si>
    <t>A279</t>
  </si>
  <si>
    <t xml:space="preserve"> Pteropus lylei (Zorro Volador)</t>
  </si>
  <si>
    <t xml:space="preserve">Zoo Barcelona </t>
  </si>
  <si>
    <t>MIG12-29239579</t>
  </si>
  <si>
    <t xml:space="preserve">Ear </t>
  </si>
  <si>
    <t>in culture, 1 CT</t>
  </si>
  <si>
    <t xml:space="preserve">DMEMF12 + 20% FBS </t>
  </si>
  <si>
    <t>1 P0 2P1 2P2</t>
  </si>
  <si>
    <t>A280</t>
  </si>
  <si>
    <t>Aepyceros melapus petersi (Impala)</t>
  </si>
  <si>
    <t>QGH20-05395</t>
  </si>
  <si>
    <t>in culture, 2 CT</t>
  </si>
  <si>
    <t>1 P0 2 P1 2P2</t>
  </si>
  <si>
    <t>A281</t>
  </si>
  <si>
    <t>Eclectus roratus</t>
  </si>
  <si>
    <t xml:space="preserve">zoo madrid </t>
  </si>
  <si>
    <t>WKP18-01463/ MADRID Z / ECL6</t>
  </si>
  <si>
    <t xml:space="preserve">skin and traquea </t>
  </si>
  <si>
    <t>in culture, 1CT</t>
  </si>
  <si>
    <t>FBM : alphamem complete</t>
  </si>
  <si>
    <t xml:space="preserve">si from traquea </t>
  </si>
  <si>
    <t xml:space="preserve">2 P0 2 P1 </t>
  </si>
  <si>
    <t>After P1, fibros grow very slowly</t>
  </si>
  <si>
    <t>A282</t>
  </si>
  <si>
    <t xml:space="preserve">Mono araña </t>
  </si>
  <si>
    <t>MIG12-29017598/BARCELONA / 11694</t>
  </si>
  <si>
    <t>2 P0 2 P1 1P2 2P3 2P4</t>
  </si>
  <si>
    <t>A283</t>
  </si>
  <si>
    <t xml:space="preserve">Gazella dorcas </t>
  </si>
  <si>
    <t>QGH16-04140</t>
  </si>
  <si>
    <t>2 P0 2P1 2P2</t>
  </si>
  <si>
    <t>A284</t>
  </si>
  <si>
    <t>Dama dama</t>
  </si>
  <si>
    <t>MIG12-29480644/MADRID Z / GAM53</t>
  </si>
  <si>
    <t xml:space="preserve">Skin and ovario </t>
  </si>
  <si>
    <t>2 P0,P1 and P2 from ovario, 2P0, 2P1 and 2P2 from skin</t>
  </si>
  <si>
    <t>A285</t>
  </si>
  <si>
    <t xml:space="preserve">Triton </t>
  </si>
  <si>
    <t>---</t>
  </si>
  <si>
    <t xml:space="preserve">Tail </t>
  </si>
  <si>
    <t xml:space="preserve">in culture </t>
  </si>
  <si>
    <t xml:space="preserve">alphamem complete + 1:1000 fungizona + 1:100 ITS 28C </t>
  </si>
  <si>
    <t xml:space="preserve">Sira and silvia </t>
  </si>
  <si>
    <t xml:space="preserve">CONTAMINADO </t>
  </si>
  <si>
    <t>Contaminado placa a 28C</t>
  </si>
  <si>
    <t>A286</t>
  </si>
  <si>
    <t xml:space="preserve">Conejo </t>
  </si>
  <si>
    <t>2 P0 2 P1 2 P2</t>
  </si>
  <si>
    <t>A287</t>
  </si>
  <si>
    <t>Mangabey ( Cercocebus torquatus)</t>
  </si>
  <si>
    <t xml:space="preserve"> 5724123 Barcelona/9381</t>
  </si>
  <si>
    <t xml:space="preserve">on gelatin FBM </t>
  </si>
  <si>
    <t>split p0 on gelatin + FBM (fibros died P0)</t>
  </si>
  <si>
    <t>negative</t>
  </si>
  <si>
    <t>A288</t>
  </si>
  <si>
    <t xml:space="preserve">Phacochoerus africanus </t>
  </si>
  <si>
    <t>MIG12-29239592</t>
  </si>
  <si>
    <t>2 P0 1 P1</t>
  </si>
  <si>
    <t>A289</t>
  </si>
  <si>
    <t>A290</t>
  </si>
  <si>
    <t>Central chimpanzee</t>
  </si>
  <si>
    <t>MIG12-30088855</t>
  </si>
  <si>
    <t xml:space="preserve">Sira/ Silvia skin </t>
  </si>
  <si>
    <t xml:space="preserve">si, fibros from skin </t>
  </si>
  <si>
    <t>2P0  2P1 2P2 from skin 4P3</t>
  </si>
  <si>
    <t>A291</t>
  </si>
  <si>
    <t>Canguro de Bennet Macropus rufogriseus</t>
  </si>
  <si>
    <t>Zoo Jerez</t>
  </si>
  <si>
    <t>FRW15-00528/JEREZCA56</t>
  </si>
  <si>
    <t>2 P0 2P1</t>
  </si>
  <si>
    <t>A292</t>
  </si>
  <si>
    <t>Canguro (cria)</t>
  </si>
  <si>
    <t>FRW22-01290/ JEREZCA71</t>
  </si>
  <si>
    <t>2 P0 2 P1 2P2</t>
  </si>
  <si>
    <t>A293</t>
  </si>
  <si>
    <t>Alcaudon (pàjaro)/Lanius senator</t>
  </si>
  <si>
    <t>CRAS 28/22</t>
  </si>
  <si>
    <t xml:space="preserve">traquea </t>
  </si>
  <si>
    <t>A294</t>
  </si>
  <si>
    <t>Clamidosaurus kingii</t>
  </si>
  <si>
    <t>QGH16-04206</t>
  </si>
  <si>
    <t xml:space="preserve">alphamem complete ( change medium every one day) </t>
  </si>
  <si>
    <t>split no se han enganchado</t>
  </si>
  <si>
    <t>A295 (=A2)</t>
  </si>
  <si>
    <t xml:space="preserve">Canis lupus </t>
  </si>
  <si>
    <t>in culture, , 1CT</t>
  </si>
  <si>
    <t>3 P0 2P1 2P2 2P3</t>
  </si>
  <si>
    <t>A296</t>
  </si>
  <si>
    <t xml:space="preserve">Leon </t>
  </si>
  <si>
    <t>Bioparc Valencia</t>
  </si>
  <si>
    <t>A297</t>
  </si>
  <si>
    <t>Gallus gallus domestic</t>
  </si>
  <si>
    <t>Zoo de Madrid</t>
  </si>
  <si>
    <t>WKP15-00483/MADRID Z / GALL1</t>
  </si>
  <si>
    <t>A298</t>
  </si>
  <si>
    <t>Hylobates muelleri</t>
  </si>
  <si>
    <t>27920039/MADRID Z / GM2</t>
  </si>
  <si>
    <t xml:space="preserve">alphamem complete on gelatin </t>
  </si>
  <si>
    <t>2P0 2P1 2P2</t>
  </si>
  <si>
    <t>A299</t>
  </si>
  <si>
    <t xml:space="preserve">Penguino </t>
  </si>
  <si>
    <t>19146851/ BARCELONA / 4274</t>
  </si>
  <si>
    <t>FBM</t>
  </si>
  <si>
    <t>A300</t>
  </si>
  <si>
    <t>Macaca sylvanus</t>
  </si>
  <si>
    <t>MIG12-28734788/BARCELONA / 10699</t>
  </si>
  <si>
    <t>BEGM medium for bocal and nasal and alphamem coplete for skin on gelatin coating</t>
  </si>
  <si>
    <t xml:space="preserve">si from skin and nasal </t>
  </si>
  <si>
    <t xml:space="preserve">4P0 2P1  2P3 from skin </t>
  </si>
  <si>
    <t>A301</t>
  </si>
  <si>
    <t xml:space="preserve">Hystrix </t>
  </si>
  <si>
    <t>MIG12-29239594/: BARCELONA / 6799</t>
  </si>
  <si>
    <t>A302</t>
  </si>
  <si>
    <t xml:space="preserve">Chauna Torquata </t>
  </si>
  <si>
    <t>MIG12-28179183</t>
  </si>
  <si>
    <t>Traquea</t>
  </si>
  <si>
    <t>2P0 3P1 3P2</t>
  </si>
  <si>
    <t>A303</t>
  </si>
  <si>
    <t>Scissirostrum dubium</t>
  </si>
  <si>
    <t xml:space="preserve"> -</t>
  </si>
  <si>
    <t xml:space="preserve">enbryo's wings </t>
  </si>
  <si>
    <t>2 P0 2P1 4P2</t>
  </si>
  <si>
    <t>A304</t>
  </si>
  <si>
    <t xml:space="preserve">Belluga </t>
  </si>
  <si>
    <t xml:space="preserve">Oceanografico </t>
  </si>
  <si>
    <t>RNV18-00506/OCEAN VAL / Kairo</t>
  </si>
  <si>
    <t>in culture, 10CT y 2 falcon</t>
  </si>
  <si>
    <t>DMEMF12 + P/S+ Sodium Piruvate + NEAA + AA + 15%FBS + l-Glut</t>
  </si>
  <si>
    <t xml:space="preserve">Sira/Silvia </t>
  </si>
  <si>
    <t xml:space="preserve">2P0 2P1 whole w/o coating 1P0 deep w/o coating , 1P0 mid on colag, 1P0 deep on colag, 2P0 2P1 2P2 on gelatin Mid, 2P2 Whole </t>
  </si>
  <si>
    <t xml:space="preserve">Whole sin coating SI fibros, On gelatin solo la parte MID con fibros, On colagen MID and DEEP con fibros </t>
  </si>
  <si>
    <t xml:space="preserve">A305 </t>
  </si>
  <si>
    <t xml:space="preserve">Cynomys ludovicianus </t>
  </si>
  <si>
    <t>SQK18-04210/BARCELONA13749</t>
  </si>
  <si>
    <t>3 P0 2P1 2P2</t>
  </si>
  <si>
    <t>A306</t>
  </si>
  <si>
    <t>Cercocebus lunulatus (=A206)</t>
  </si>
  <si>
    <t>QGH16-04193/ BARCELONA / 12808</t>
  </si>
  <si>
    <t>in culture</t>
  </si>
  <si>
    <t xml:space="preserve">Sira </t>
  </si>
  <si>
    <t>1 P0 2P1</t>
  </si>
  <si>
    <t>A307</t>
  </si>
  <si>
    <t>Bison Bonasus</t>
  </si>
  <si>
    <t>26854224/: BARCELONA / 2123</t>
  </si>
  <si>
    <t>2P0 4P1 3P2</t>
  </si>
  <si>
    <t>A308</t>
  </si>
  <si>
    <t>Equus caballus przewalskii</t>
  </si>
  <si>
    <t>Zoo Botánico Jerez</t>
  </si>
  <si>
    <t>MQH17-01033/JEREZ / CP13</t>
  </si>
  <si>
    <t>placenta/umbilical cordon</t>
  </si>
  <si>
    <t>in culture, 8CT</t>
  </si>
  <si>
    <t>2P1 2P2 1P3</t>
  </si>
  <si>
    <t xml:space="preserve">negative </t>
  </si>
  <si>
    <t>A309</t>
  </si>
  <si>
    <t>Hippocampus abdominalis</t>
  </si>
  <si>
    <t>Aquarium San Sebastian</t>
  </si>
  <si>
    <t>whole specimen</t>
  </si>
  <si>
    <t>L15 + 15% FBS +AA +PS and DMEMF12+20%FBS +AA +PS</t>
  </si>
  <si>
    <t>A310</t>
  </si>
  <si>
    <t>Diplodus vulgaris</t>
  </si>
  <si>
    <t>aleta caudal</t>
  </si>
  <si>
    <t>First fibros 7 days DMEM/F12)</t>
  </si>
  <si>
    <t>A311</t>
  </si>
  <si>
    <t>Engraulis encrasicolus</t>
  </si>
  <si>
    <t>NO success</t>
  </si>
  <si>
    <t>A312</t>
  </si>
  <si>
    <t>QGH20-05382/BARCELONA/13680</t>
  </si>
  <si>
    <t xml:space="preserve">Traquea </t>
  </si>
  <si>
    <t>A313</t>
  </si>
  <si>
    <t xml:space="preserve">Aurelia Aurita </t>
  </si>
  <si>
    <t xml:space="preserve">whole </t>
  </si>
  <si>
    <t>--</t>
  </si>
  <si>
    <t>A314</t>
  </si>
  <si>
    <t>Panther chameleon</t>
  </si>
  <si>
    <t>TLJ22-01287/ BIOPARCVA / C10</t>
  </si>
  <si>
    <t>in culture,1CT</t>
  </si>
  <si>
    <t xml:space="preserve">alphamem complete  </t>
  </si>
  <si>
    <t>A315</t>
  </si>
  <si>
    <t xml:space="preserve">Elefante </t>
  </si>
  <si>
    <t>23537250/BARCELONA/10511</t>
  </si>
  <si>
    <t xml:space="preserve">Bocal </t>
  </si>
  <si>
    <t xml:space="preserve">alphamem complete; BEGM medium </t>
  </si>
  <si>
    <t xml:space="preserve">sira/silvia </t>
  </si>
  <si>
    <t>A316</t>
  </si>
  <si>
    <t>Platelea ajaja</t>
  </si>
  <si>
    <t>MIG12-29661875/BARCELONA/10746</t>
  </si>
  <si>
    <t>A317</t>
  </si>
  <si>
    <t>Cygnus atratus</t>
  </si>
  <si>
    <t>27919208/27919208</t>
  </si>
  <si>
    <t xml:space="preserve">Traquea/SKin </t>
  </si>
  <si>
    <t>in culture, 5CT (2 Traquea/1 Skin)</t>
  </si>
  <si>
    <t>A318</t>
  </si>
  <si>
    <t>Pongo pugmaeus pygmaeus (orangu)</t>
  </si>
  <si>
    <t>MIG12-30088890/5671</t>
  </si>
  <si>
    <t>3P0 4P1 3P2</t>
  </si>
  <si>
    <t>A319</t>
  </si>
  <si>
    <t xml:space="preserve">Otus scops scops </t>
  </si>
  <si>
    <t>25996946/BARCELONA10374</t>
  </si>
  <si>
    <t>no seccess</t>
  </si>
  <si>
    <t>no han crecido despues del pase 0</t>
  </si>
  <si>
    <t>A320</t>
  </si>
  <si>
    <t>Azor</t>
  </si>
  <si>
    <t>CRAS83/22</t>
  </si>
  <si>
    <t>in culture,2CT</t>
  </si>
  <si>
    <t>CONTAMINADO HONGOS!!!!!</t>
  </si>
  <si>
    <t>Ha llegado en un medio amarillo!</t>
  </si>
  <si>
    <t>A321</t>
  </si>
  <si>
    <t>Panthera onca (same A109)</t>
  </si>
  <si>
    <t xml:space="preserve">BEGM medium for nasal  on gelatin and matri and alphamem for skin </t>
  </si>
  <si>
    <t xml:space="preserve">2P1 skin </t>
  </si>
  <si>
    <t>same specimen A217/A109</t>
  </si>
  <si>
    <t>A322</t>
  </si>
  <si>
    <t>MIG12-30088895/4367</t>
  </si>
  <si>
    <t xml:space="preserve">Skin + nasal </t>
  </si>
  <si>
    <t xml:space="preserve">BEGM medium for nasal  On gel and matri and alphamem for skin </t>
  </si>
  <si>
    <t>Silvia</t>
  </si>
  <si>
    <t>2P0 1P2</t>
  </si>
  <si>
    <t>A323</t>
  </si>
  <si>
    <t>QGH14-02099/BARCELONA / 12241</t>
  </si>
  <si>
    <t>2P0 1P1</t>
  </si>
  <si>
    <t>A324</t>
  </si>
  <si>
    <t>QGH22-06076-IA</t>
  </si>
  <si>
    <t>Placenta/Umbilical Cordon</t>
  </si>
  <si>
    <t>in culture,3CT</t>
  </si>
  <si>
    <t>A325</t>
  </si>
  <si>
    <t>Lophura edwardsi</t>
  </si>
  <si>
    <t>QGH22-06078-IA</t>
  </si>
  <si>
    <t>3P0 2P1</t>
  </si>
  <si>
    <t>A326</t>
  </si>
  <si>
    <t xml:space="preserve">Nycticorax Nycticorax </t>
  </si>
  <si>
    <t>QGH22-06035/BARCELONA/14079</t>
  </si>
  <si>
    <t>2P0</t>
  </si>
  <si>
    <t>A327</t>
  </si>
  <si>
    <t>QGH22-06077</t>
  </si>
  <si>
    <t xml:space="preserve">3P0 </t>
  </si>
  <si>
    <t>A328</t>
  </si>
  <si>
    <t>Python regius</t>
  </si>
  <si>
    <t>17963991 BARCELONA/5619</t>
  </si>
  <si>
    <t>DMEMF12+10%FBS +glut + NEAA +AA +PS</t>
  </si>
  <si>
    <t>A329</t>
  </si>
  <si>
    <t>Anodorrhynchus hyacinthinus</t>
  </si>
  <si>
    <t>QGH2206092IA</t>
  </si>
  <si>
    <t>A330</t>
  </si>
  <si>
    <t xml:space="preserve">Polyplectron napoleonis </t>
  </si>
  <si>
    <t>QGH1604017</t>
  </si>
  <si>
    <t>A331</t>
  </si>
  <si>
    <t>Megaptera novaeangliae (Whale )</t>
  </si>
  <si>
    <t>Oceanografic Valencia</t>
  </si>
  <si>
    <t>DMEM high glucose + 20%FBS + P/S + Lglu + S.Piruv. + NEAA</t>
  </si>
  <si>
    <t>5P0 4P1</t>
  </si>
  <si>
    <t>A332</t>
  </si>
  <si>
    <t>Ailurus fulgens fulgens</t>
  </si>
  <si>
    <t>TMJ12-00038/MADRID Z / PR97</t>
  </si>
  <si>
    <t>skin + ovario</t>
  </si>
  <si>
    <t>In culture, 2CTskin 2CTovario</t>
  </si>
  <si>
    <t>2P0 2P1</t>
  </si>
  <si>
    <t>A333</t>
  </si>
  <si>
    <t>Gambian giant pouched rat</t>
  </si>
  <si>
    <t>Bioparco valencia</t>
  </si>
  <si>
    <t>TLJ15-00688/: BIOPARCVA / V15082</t>
  </si>
  <si>
    <t>A334</t>
  </si>
  <si>
    <t xml:space="preserve">Nanger dama </t>
  </si>
  <si>
    <t>QGH22-06087</t>
  </si>
  <si>
    <t xml:space="preserve">2CT claen </t>
  </si>
  <si>
    <t>A335</t>
  </si>
  <si>
    <t>QGH22-06088</t>
  </si>
  <si>
    <t xml:space="preserve">2CT clean </t>
  </si>
  <si>
    <t>A336</t>
  </si>
  <si>
    <t xml:space="preserve">Placenta + cordon </t>
  </si>
  <si>
    <t xml:space="preserve">silvia Sira </t>
  </si>
  <si>
    <t>A337</t>
  </si>
  <si>
    <t>QGH22-06100-IA</t>
  </si>
  <si>
    <t>A338</t>
  </si>
  <si>
    <t>Caloeanus nicobarica</t>
  </si>
  <si>
    <t>QGH15-02298 /12449</t>
  </si>
  <si>
    <t>A339</t>
  </si>
  <si>
    <t>8425827/MADRID Z / MN17</t>
  </si>
  <si>
    <t>4P0 3P1</t>
  </si>
  <si>
    <t>A340</t>
  </si>
  <si>
    <t xml:space="preserve">Paloma </t>
  </si>
  <si>
    <t xml:space="preserve">Traquea + skin </t>
  </si>
  <si>
    <t>4P0</t>
  </si>
  <si>
    <t xml:space="preserve">A341 </t>
  </si>
  <si>
    <t xml:space="preserve">Reno </t>
  </si>
  <si>
    <t>A342</t>
  </si>
  <si>
    <t>Oso hormiguero</t>
  </si>
  <si>
    <t>NO ZIMS</t>
  </si>
  <si>
    <t xml:space="preserve">Fetus </t>
  </si>
  <si>
    <t>3P0 1P1</t>
  </si>
  <si>
    <t>A343</t>
  </si>
  <si>
    <t xml:space="preserve">Delfus comun </t>
  </si>
  <si>
    <t>DMEMF12 + 20%FBS + P/S + Lglu + S.Piruv. + NEAA + fgf2 20 ng/ml</t>
  </si>
  <si>
    <t>A344</t>
  </si>
  <si>
    <t>Bucorvus leadbeateri</t>
  </si>
  <si>
    <t>QGH22-06111</t>
  </si>
  <si>
    <t>A345</t>
  </si>
  <si>
    <t xml:space="preserve">Zalophus californianos </t>
  </si>
  <si>
    <t>QGH12-00115</t>
  </si>
  <si>
    <t>4P0 2P1</t>
  </si>
  <si>
    <t>A346</t>
  </si>
  <si>
    <t xml:space="preserve">jacana jacana </t>
  </si>
  <si>
    <t>QGH13-00872</t>
  </si>
  <si>
    <t>A347</t>
  </si>
  <si>
    <t xml:space="preserve">sanguinus oedipus </t>
  </si>
  <si>
    <t>QGH22-06117-IA</t>
  </si>
  <si>
    <t xml:space="preserve">ear </t>
  </si>
  <si>
    <t>A348</t>
  </si>
  <si>
    <t>Potamochoerus porcus</t>
  </si>
  <si>
    <t>MIG12-28806139/ MADRID Z / POT7</t>
  </si>
  <si>
    <t>A349</t>
  </si>
  <si>
    <t xml:space="preserve">Aleta </t>
  </si>
  <si>
    <t>DMEMF12+10%FBS +glut + NEAA +AA +PS (28grados)</t>
  </si>
  <si>
    <t>A350</t>
  </si>
  <si>
    <t>QGH22-06121</t>
  </si>
  <si>
    <t>A351</t>
  </si>
  <si>
    <t xml:space="preserve">Ambystoma mexicanum </t>
  </si>
  <si>
    <t>Body, higado, aletas</t>
  </si>
  <si>
    <t xml:space="preserve">in culture,3CT </t>
  </si>
  <si>
    <t>AMEM (MEM + 10%FBS +P/S + Lglut  + ITS)</t>
  </si>
  <si>
    <t xml:space="preserve">No SUCCESS </t>
  </si>
  <si>
    <t xml:space="preserve">He tirado la placa porque no crecia nada ni a room temperature </t>
  </si>
  <si>
    <t xml:space="preserve">Higado tirado, no utilizar </t>
  </si>
  <si>
    <t>A352</t>
  </si>
  <si>
    <t>L15, AMEM, DMEMF12 (37C, 28C and RT)</t>
  </si>
  <si>
    <t>A353</t>
  </si>
  <si>
    <t>Rock hyrax</t>
  </si>
  <si>
    <t>BioParc</t>
  </si>
  <si>
    <t>CGK10-00254/BIOPARCVA / V11164</t>
  </si>
  <si>
    <t>A354</t>
  </si>
  <si>
    <t>Eos reticulata</t>
  </si>
  <si>
    <t>27181800/barcelona/10564</t>
  </si>
  <si>
    <t>A355</t>
  </si>
  <si>
    <t>Macropus rufus</t>
  </si>
  <si>
    <t>23771982/BARCELONA/10129</t>
  </si>
  <si>
    <t>A356</t>
  </si>
  <si>
    <t>Macrochelys temminckii</t>
  </si>
  <si>
    <t>QGH12-00305/BARCELONA/11715</t>
  </si>
  <si>
    <t>in culture,5CT</t>
  </si>
  <si>
    <t>DMEMF12+10%FBS +glut + NEAA +AA +PS (37grados)</t>
  </si>
  <si>
    <t>A357</t>
  </si>
  <si>
    <t>Loxodonta africana</t>
  </si>
  <si>
    <t xml:space="preserve">Bioparco de Valencia </t>
  </si>
  <si>
    <t xml:space="preserve">Kibo </t>
  </si>
  <si>
    <t>in culture,6CT</t>
  </si>
  <si>
    <t>alphamem complete on gelatin 0.1%</t>
  </si>
  <si>
    <t>5P0 6P1 5P2 3P3</t>
  </si>
  <si>
    <t xml:space="preserve">Negative </t>
  </si>
  <si>
    <t xml:space="preserve">A358 </t>
  </si>
  <si>
    <t xml:space="preserve">Phoenicopterus ruber </t>
  </si>
  <si>
    <t>ap22-00215</t>
  </si>
  <si>
    <t>A359</t>
  </si>
  <si>
    <t xml:space="preserve">Mandrillus leucophaeus </t>
  </si>
  <si>
    <t>QGH14-02210</t>
  </si>
  <si>
    <t xml:space="preserve">2P0 </t>
  </si>
  <si>
    <t>A360</t>
  </si>
  <si>
    <t>QGH13-01342</t>
  </si>
  <si>
    <t xml:space="preserve">2P0 2P1 </t>
  </si>
  <si>
    <t xml:space="preserve">Si </t>
  </si>
  <si>
    <t>A361</t>
  </si>
  <si>
    <t xml:space="preserve">Crocodrylus rombifer </t>
  </si>
  <si>
    <t>AP22-222/5277</t>
  </si>
  <si>
    <t>in culture,4CT</t>
  </si>
  <si>
    <t xml:space="preserve"> DMEMF12+10%FBS +glut + NEAA +AA +PS on gelatin  (37grados)</t>
  </si>
  <si>
    <t>A362</t>
  </si>
  <si>
    <t xml:space="preserve">Ara chloropterus </t>
  </si>
  <si>
    <t>AP22-221/7344</t>
  </si>
  <si>
    <t>A363</t>
  </si>
  <si>
    <t>Lampropelis triangulum sinaloae</t>
  </si>
  <si>
    <t>A364</t>
  </si>
  <si>
    <t>QGH21-05744</t>
  </si>
  <si>
    <t>A365</t>
  </si>
  <si>
    <t xml:space="preserve">Leopardo </t>
  </si>
  <si>
    <t>LE-24</t>
  </si>
  <si>
    <t>A366</t>
  </si>
  <si>
    <t xml:space="preserve">Cabra rasquera </t>
  </si>
  <si>
    <t>QGH12-00146</t>
  </si>
  <si>
    <t xml:space="preserve">4CT </t>
  </si>
  <si>
    <t>A367</t>
  </si>
  <si>
    <t>Amazona aestiva</t>
  </si>
  <si>
    <t xml:space="preserve">Zoo madrid </t>
  </si>
  <si>
    <t>AE-29 "blu"</t>
  </si>
  <si>
    <t xml:space="preserve">skin + traquea </t>
  </si>
  <si>
    <t>3CT skin 3CT traquea</t>
  </si>
  <si>
    <t>A368</t>
  </si>
  <si>
    <t>silvia</t>
  </si>
  <si>
    <t>A369</t>
  </si>
  <si>
    <t>QGH16-04293</t>
  </si>
  <si>
    <t>A370</t>
  </si>
  <si>
    <t>Corucia zebrata</t>
  </si>
  <si>
    <t>QGH20-05473</t>
  </si>
  <si>
    <t>28C DMEM/F12 Complets. on matrigel 12/09</t>
  </si>
  <si>
    <t>sira</t>
  </si>
  <si>
    <t>si on matrigel and w/o matrigel 28 and 37 grados</t>
  </si>
  <si>
    <t>no success</t>
  </si>
  <si>
    <t>A371</t>
  </si>
  <si>
    <t>Tauraco erythroliphus</t>
  </si>
  <si>
    <t>TRC15-00347</t>
  </si>
  <si>
    <t>A372</t>
  </si>
  <si>
    <t xml:space="preserve">Turaco leucoti </t>
  </si>
  <si>
    <t>traquea + skin</t>
  </si>
  <si>
    <t>1CT skin 2CT traquea</t>
  </si>
  <si>
    <t>A373</t>
  </si>
  <si>
    <t>Aonyx cinereus ( Nutria asiatica)</t>
  </si>
  <si>
    <t>MondoMar</t>
  </si>
  <si>
    <t>MIG12-29553818</t>
  </si>
  <si>
    <t xml:space="preserve">testiculos </t>
  </si>
  <si>
    <t>in culture, 3CT</t>
  </si>
  <si>
    <t>A374</t>
  </si>
  <si>
    <t>Beatragus hunteri</t>
  </si>
  <si>
    <t xml:space="preserve">Bioparco Valencia </t>
  </si>
  <si>
    <t>si x DNA and RNA</t>
  </si>
  <si>
    <t>A375</t>
  </si>
  <si>
    <t xml:space="preserve">Suricata Suricatta </t>
  </si>
  <si>
    <t>FMK17-00003</t>
  </si>
  <si>
    <t xml:space="preserve">ovarios </t>
  </si>
  <si>
    <t>4CT</t>
  </si>
  <si>
    <t>A376</t>
  </si>
  <si>
    <t xml:space="preserve">Salmon salar </t>
  </si>
  <si>
    <t xml:space="preserve">Acuario Gijon </t>
  </si>
  <si>
    <t xml:space="preserve">Skin and Aletas </t>
  </si>
  <si>
    <t>2CT skin 1CT Aletas</t>
  </si>
  <si>
    <t xml:space="preserve">28C and 37C FBM on matrigel and w/o matrigel </t>
  </si>
  <si>
    <t>A377</t>
  </si>
  <si>
    <t>Fins</t>
  </si>
  <si>
    <t>revisar -80 ·CT  2CT skin 2CT Aletas</t>
  </si>
  <si>
    <t xml:space="preserve">28C high glucose on matrigel and w/o matrigel </t>
  </si>
  <si>
    <t>A378</t>
  </si>
  <si>
    <t xml:space="preserve">Agalychnis callidryas </t>
  </si>
  <si>
    <t>skin and riñon</t>
  </si>
  <si>
    <t>2CT skin 2CT riñon</t>
  </si>
  <si>
    <t>A379</t>
  </si>
  <si>
    <t>Hylobates pileatus</t>
  </si>
  <si>
    <t>24150276/Barcelona11283</t>
  </si>
  <si>
    <t xml:space="preserve">alphamem complete. On gelatin </t>
  </si>
  <si>
    <t>A380</t>
  </si>
  <si>
    <t>Amazona liliciana</t>
  </si>
  <si>
    <t>MIG12-28921127/Barcelona12368</t>
  </si>
  <si>
    <t>in culture 3CT</t>
  </si>
  <si>
    <t xml:space="preserve">contaminado </t>
  </si>
  <si>
    <t>A381</t>
  </si>
  <si>
    <t>Mandrillus leucophaeus</t>
  </si>
  <si>
    <t>MIG12-29591019/barcelona/6329</t>
  </si>
  <si>
    <t>A382</t>
  </si>
  <si>
    <t>Elaphurus davidianus</t>
  </si>
  <si>
    <t>MIG12-28066865/barcelona/10882</t>
  </si>
  <si>
    <t>in culture, 5CT</t>
  </si>
  <si>
    <t xml:space="preserve">alphamem complete </t>
  </si>
  <si>
    <t>3P0 5P1</t>
  </si>
  <si>
    <t>A383</t>
  </si>
  <si>
    <t>Amazona brasiliensis</t>
  </si>
  <si>
    <t>MIG12-21379186/BARCELONA / 10462</t>
  </si>
  <si>
    <t>Traquea/Lungs</t>
  </si>
  <si>
    <t xml:space="preserve">alphamem complete 12/09 on matrigel </t>
  </si>
  <si>
    <t>A384</t>
  </si>
  <si>
    <t>QGH22-06164-IA</t>
  </si>
  <si>
    <t>A385</t>
  </si>
  <si>
    <t>Ixobrychus minutus</t>
  </si>
  <si>
    <t>VKM13-00879/BARCELONA / 12860</t>
  </si>
  <si>
    <t>FBM:alphamem 12/09 on matrigel</t>
  </si>
  <si>
    <t xml:space="preserve">Micoplasma positivo </t>
  </si>
  <si>
    <t>A386</t>
  </si>
  <si>
    <t>Spheniscus humboldti</t>
  </si>
  <si>
    <t>MIG12-28033500/BARCELONA / 5029</t>
  </si>
  <si>
    <t>2P12P0</t>
  </si>
  <si>
    <t>A387</t>
  </si>
  <si>
    <t>Falco naumanni</t>
  </si>
  <si>
    <t>WKP22-01969/MADRID Z / CEP38</t>
  </si>
  <si>
    <t>Traquea/skin</t>
  </si>
  <si>
    <t>A388</t>
  </si>
  <si>
    <t xml:space="preserve">Agapornis nigrigenis </t>
  </si>
  <si>
    <t>DKL-17-04749Barcelona/13256</t>
  </si>
  <si>
    <t>In culture, 3CT</t>
  </si>
  <si>
    <t>A389</t>
  </si>
  <si>
    <t>MIG12-28824985</t>
  </si>
  <si>
    <t xml:space="preserve">FBM:alphamem </t>
  </si>
  <si>
    <t xml:space="preserve">no success </t>
  </si>
  <si>
    <t>A390</t>
  </si>
  <si>
    <t xml:space="preserve">Lemur catta </t>
  </si>
  <si>
    <t>QGH15-02282/Barcelona/12431</t>
  </si>
  <si>
    <t>A391</t>
  </si>
  <si>
    <t>Hydrochoerus hydrochaeris (Capybara)</t>
  </si>
  <si>
    <t>DLK20-06414Barcelona/13876</t>
  </si>
  <si>
    <t>A392</t>
  </si>
  <si>
    <t>Cebulla pygmaea (pygmy marmoset)</t>
  </si>
  <si>
    <t>QGH18-04995Barcelona/13312</t>
  </si>
  <si>
    <t>2P0 2P1 1P3</t>
  </si>
  <si>
    <t>A393</t>
  </si>
  <si>
    <t>MIG12-29854099/MADRID Z / GAD26</t>
  </si>
  <si>
    <t>skin and ovario</t>
  </si>
  <si>
    <t>4CT skin and 2 CT ovario</t>
  </si>
  <si>
    <t>A394</t>
  </si>
  <si>
    <t>QGH22-06032Barcelona/14077</t>
  </si>
  <si>
    <t xml:space="preserve">alphamem complete on matrigel </t>
  </si>
  <si>
    <t>2P0 2P1 1P2 1P3</t>
  </si>
  <si>
    <t>A395</t>
  </si>
  <si>
    <t>QGH22-06198-IA</t>
  </si>
  <si>
    <t xml:space="preserve">28C alphamem complete + 100x ITS +0.1% Normocin </t>
  </si>
  <si>
    <t>A396</t>
  </si>
  <si>
    <t>Phyton breitensteini</t>
  </si>
  <si>
    <t>15808636/Barcelona/7300</t>
  </si>
  <si>
    <t xml:space="preserve"> 37C alphamem complete + 100x ITS and  amioMax </t>
  </si>
  <si>
    <t xml:space="preserve">si (37) pasado a 28 grados hongos a 28 </t>
  </si>
  <si>
    <t xml:space="preserve">No success </t>
  </si>
  <si>
    <t xml:space="preserve">Cercocebus torquatus </t>
  </si>
  <si>
    <t>QGH14-02193/12333</t>
  </si>
  <si>
    <t xml:space="preserve">piel </t>
  </si>
  <si>
    <t xml:space="preserve">1 CT </t>
  </si>
  <si>
    <t>5724123/9381</t>
  </si>
  <si>
    <t xml:space="preserve">alphamem complete  on matrigel </t>
  </si>
  <si>
    <t xml:space="preserve">2P0 p1 split on mg ( no veo que crescen mucho) </t>
  </si>
  <si>
    <t>A397</t>
  </si>
  <si>
    <t>Nanger Dama mhorr</t>
  </si>
  <si>
    <t>QGH16-04153/barcelona/12778</t>
  </si>
  <si>
    <t>A398</t>
  </si>
  <si>
    <t>QGH17-04511/barcelona/12963</t>
  </si>
  <si>
    <t>A400</t>
  </si>
  <si>
    <t>Leontopithecus chrysomelas</t>
  </si>
  <si>
    <t>MIG12-29918004/Barcelona/10206</t>
  </si>
  <si>
    <t>In culture, 4CT</t>
  </si>
  <si>
    <t xml:space="preserve">Alphamem complete </t>
  </si>
  <si>
    <t>3P0 2P2</t>
  </si>
  <si>
    <t>A401</t>
  </si>
  <si>
    <t>QGH22-06204-IA/27</t>
  </si>
  <si>
    <t>In culture</t>
  </si>
  <si>
    <t>Contaminado</t>
  </si>
  <si>
    <t>A402</t>
  </si>
  <si>
    <t>Agapornis nigrigenis</t>
  </si>
  <si>
    <t>QGH22-06205-IA/28</t>
  </si>
  <si>
    <t>Alphamem complete on matrigel</t>
  </si>
  <si>
    <t xml:space="preserve">fibros died </t>
  </si>
  <si>
    <t>A403</t>
  </si>
  <si>
    <t>Panthera Onca</t>
  </si>
  <si>
    <t>Elche</t>
  </si>
  <si>
    <t>RMC17-00249/ELCHE SAF / 1813</t>
  </si>
  <si>
    <t xml:space="preserve">Skin </t>
  </si>
  <si>
    <t xml:space="preserve">In culture, 1 CT </t>
  </si>
  <si>
    <t xml:space="preserve">A404 </t>
  </si>
  <si>
    <t xml:space="preserve">Ailurus fulgens fulgens ( panda rojo) </t>
  </si>
  <si>
    <t xml:space="preserve">zoo Barcelona </t>
  </si>
  <si>
    <t>200092917540/BARCELONA / 10009</t>
  </si>
  <si>
    <t xml:space="preserve">In culture, 2CT </t>
  </si>
  <si>
    <t xml:space="preserve">Sílvia </t>
  </si>
  <si>
    <r>
      <rPr>
        <rFont val="Calibri"/>
        <b/>
        <color theme="1"/>
        <sz val="11.0"/>
      </rPr>
      <t xml:space="preserve">A405 </t>
    </r>
    <r>
      <rPr>
        <rFont val="Calibri"/>
        <b/>
        <color rgb="FF8E7CC3"/>
        <sz val="11.0"/>
      </rPr>
      <t>(A156)</t>
    </r>
  </si>
  <si>
    <t>Nanger dama mhoor</t>
  </si>
  <si>
    <t>MIG12-29591142</t>
  </si>
  <si>
    <t>A406</t>
  </si>
  <si>
    <t>QGH20-05524/ BARCELONA / 13798</t>
  </si>
  <si>
    <t>Alphamem complete:FBM</t>
  </si>
  <si>
    <t xml:space="preserve">tirado/ contaminacion </t>
  </si>
  <si>
    <t>A407</t>
  </si>
  <si>
    <t>Dacelo novaeguinaea</t>
  </si>
  <si>
    <t>MIG12-28802202/BARCELONA / 12619</t>
  </si>
  <si>
    <t xml:space="preserve">Contaminado </t>
  </si>
  <si>
    <t xml:space="preserve">A408 </t>
  </si>
  <si>
    <t xml:space="preserve">Triton Oriental </t>
  </si>
  <si>
    <t>Torrefarrussa</t>
  </si>
  <si>
    <t>Medium A and medium D 18 and 28C</t>
  </si>
  <si>
    <t>A409</t>
  </si>
  <si>
    <t>Triton Occidental</t>
  </si>
  <si>
    <t>A410</t>
  </si>
  <si>
    <t>Loris Arcoiris</t>
  </si>
  <si>
    <t xml:space="preserve">piel + traquea </t>
  </si>
  <si>
    <t>in culture (2CT)</t>
  </si>
  <si>
    <t>FBM / on Matrigel 19/10/22</t>
  </si>
  <si>
    <t>A411</t>
  </si>
  <si>
    <t>VKM12-05794/barcelona14076</t>
  </si>
  <si>
    <t>in culture (1CT)</t>
  </si>
  <si>
    <t>FBM:alphamem</t>
  </si>
  <si>
    <t>1P0 2P1</t>
  </si>
  <si>
    <t>A412</t>
  </si>
  <si>
    <t xml:space="preserve">Ateles Hybridus </t>
  </si>
  <si>
    <t>QGH22-06222/Barcelona14222</t>
  </si>
  <si>
    <t xml:space="preserve"> 1CT </t>
  </si>
  <si>
    <t>Pteropus lylei</t>
  </si>
  <si>
    <t>MIG12-283224384/Barcelona10877</t>
  </si>
  <si>
    <t>A414</t>
  </si>
  <si>
    <t xml:space="preserve">Leon Marino </t>
  </si>
  <si>
    <t>?</t>
  </si>
  <si>
    <t>A295 = A2</t>
  </si>
  <si>
    <t>Lobo iberico ( Canis lupus )</t>
  </si>
  <si>
    <t>2p0</t>
  </si>
  <si>
    <t>A415</t>
  </si>
  <si>
    <t>Agapronis Nigeriensis</t>
  </si>
  <si>
    <t>Zoo Barcelona</t>
  </si>
  <si>
    <t>QGH22-06225-IA</t>
  </si>
  <si>
    <t xml:space="preserve">FBM on mg </t>
  </si>
  <si>
    <t>A416</t>
  </si>
  <si>
    <t xml:space="preserve">Panthera leo </t>
  </si>
  <si>
    <t>DKL20-06264/BARCELONA / 13976</t>
  </si>
  <si>
    <t>A417</t>
  </si>
  <si>
    <t>DKL20-06265/:BARCELONA / 13977</t>
  </si>
  <si>
    <t>A418</t>
  </si>
  <si>
    <t>MIG12-29480578/MADRID Z / CP15</t>
  </si>
  <si>
    <t>in culture  3CT</t>
  </si>
  <si>
    <t>alphamem</t>
  </si>
  <si>
    <t>A419</t>
  </si>
  <si>
    <t>3P0</t>
  </si>
  <si>
    <t>A420</t>
  </si>
  <si>
    <t>Gacella dorcas</t>
  </si>
  <si>
    <t>QGH22-06235-IA</t>
  </si>
  <si>
    <t>A421</t>
  </si>
  <si>
    <t xml:space="preserve">Polyplectron Napoleonis </t>
  </si>
  <si>
    <t>MIG12-28325583</t>
  </si>
  <si>
    <t xml:space="preserve">traqua </t>
  </si>
  <si>
    <t>split P0</t>
  </si>
  <si>
    <t>A422</t>
  </si>
  <si>
    <t>European mink</t>
  </si>
  <si>
    <t xml:space="preserve">Zoo de madrid </t>
  </si>
  <si>
    <t>THV16-02170/MADRID Z / V11</t>
  </si>
  <si>
    <t xml:space="preserve">split p0 </t>
  </si>
  <si>
    <t>A423</t>
  </si>
  <si>
    <t>Phacochoerus Africanus</t>
  </si>
  <si>
    <t>26179436 Barcelona/10958</t>
  </si>
  <si>
    <t xml:space="preserve">alphamem + normocure </t>
  </si>
  <si>
    <t>A424</t>
  </si>
  <si>
    <t>Bos grunniens</t>
  </si>
  <si>
    <t>27917608/MADRID Z / Y12</t>
  </si>
  <si>
    <t>A425</t>
  </si>
  <si>
    <t>QGH22-06136/BARCELONA / 14160</t>
  </si>
  <si>
    <t>CT</t>
  </si>
  <si>
    <t>umbilical cordon</t>
  </si>
  <si>
    <t xml:space="preserve">Salmon </t>
  </si>
  <si>
    <t xml:space="preserve">Skin and kidney </t>
  </si>
  <si>
    <t>L15 + 15% FBS +AA +PS for kdney ans skin DMEMF12+20%FBS +AA +PS</t>
  </si>
  <si>
    <t xml:space="preserve">Loris </t>
  </si>
  <si>
    <t xml:space="preserve">Grey shark </t>
  </si>
  <si>
    <t xml:space="preserve">Medium shark </t>
  </si>
  <si>
    <t>Otus Scops</t>
  </si>
  <si>
    <t>A25</t>
  </si>
  <si>
    <t xml:space="preserve">tirado /contaminado </t>
  </si>
  <si>
    <t>Caiman</t>
  </si>
  <si>
    <t>Elefante</t>
  </si>
  <si>
    <t>-</t>
  </si>
  <si>
    <t xml:space="preserve">ALPHAMEM complete </t>
  </si>
  <si>
    <t>tirado/no success</t>
  </si>
  <si>
    <t>Què és?</t>
  </si>
  <si>
    <t>AGOSTO/SEPTIEMBRE</t>
  </si>
  <si>
    <t>CT LEFT biopsies</t>
  </si>
  <si>
    <t>Person</t>
  </si>
  <si>
    <t xml:space="preserve">zoo barcelona </t>
  </si>
  <si>
    <t>Camaleon</t>
  </si>
  <si>
    <t>DMEM/F12 Complets. Day 2 Normocure. Day 3 Fungi, cleaan and Normocure</t>
  </si>
  <si>
    <t>Trash contaminated</t>
  </si>
  <si>
    <t>Fungui</t>
  </si>
  <si>
    <t>Diplodus vulgaris (check)</t>
  </si>
  <si>
    <t>trash no fibros</t>
  </si>
  <si>
    <t>28CDMEM/F12 Complets. Day 3 Normocure</t>
  </si>
  <si>
    <t>trash contaminado</t>
  </si>
  <si>
    <t xml:space="preserve">Phyton </t>
  </si>
  <si>
    <t>28C DMEM/F12 Complets  20%FBS + ITS. On matrigel 12/09 with FBM</t>
  </si>
  <si>
    <t xml:space="preserve">Oso tibetano </t>
  </si>
  <si>
    <t xml:space="preserve">FMB: alphamem complete </t>
  </si>
  <si>
    <t>2P0 3P1</t>
  </si>
  <si>
    <t xml:space="preserve">rata Gambiana </t>
  </si>
  <si>
    <t xml:space="preserve">Camello </t>
  </si>
  <si>
    <t xml:space="preserve">si para DNA </t>
  </si>
  <si>
    <t>Leopardo pardalis</t>
  </si>
  <si>
    <t xml:space="preserve">Alphamem complete : FBM </t>
  </si>
  <si>
    <t>Panda</t>
  </si>
  <si>
    <t xml:space="preserve">contaminado trash </t>
  </si>
  <si>
    <t>Herizo</t>
  </si>
  <si>
    <t xml:space="preserve">Herizo </t>
  </si>
  <si>
    <t>Lemur catta</t>
  </si>
  <si>
    <t xml:space="preserve">Telapoin </t>
  </si>
  <si>
    <t xml:space="preserve">Animal </t>
  </si>
  <si>
    <t>Specie</t>
  </si>
  <si>
    <t xml:space="preserve">Material transfected or trasduced </t>
  </si>
  <si>
    <t>Method</t>
  </si>
  <si>
    <t>Result</t>
  </si>
  <si>
    <t xml:space="preserve">Number of colonies </t>
  </si>
  <si>
    <t xml:space="preserve">Number of Picked colonies </t>
  </si>
  <si>
    <t xml:space="preserve">Number of validated clones and which ones </t>
  </si>
  <si>
    <t>Meso, Endo, Ecto Markers</t>
  </si>
  <si>
    <t>AP staining</t>
  </si>
  <si>
    <t xml:space="preserve">Pluripotecy markers </t>
  </si>
  <si>
    <t>Pluripotecy with qPCR</t>
  </si>
  <si>
    <t xml:space="preserve">Karyotype </t>
  </si>
  <si>
    <t>Number Vials N2</t>
  </si>
  <si>
    <t xml:space="preserve">Number of policlonal vials </t>
  </si>
  <si>
    <t xml:space="preserve">Notes </t>
  </si>
  <si>
    <t xml:space="preserve">Mycoplasma </t>
  </si>
  <si>
    <t>Fibros p?</t>
  </si>
  <si>
    <t>Sendai 7.5 7.5 4.5</t>
  </si>
  <si>
    <t>Success</t>
  </si>
  <si>
    <t>? ISA</t>
  </si>
  <si>
    <t xml:space="preserve">3. Clone#1, Clone#2 Clone#6 </t>
  </si>
  <si>
    <t>Clone#2 positive NANOG</t>
  </si>
  <si>
    <t>5 vials Clone#1, 5 vials clone#2, 5 vials clone#6</t>
  </si>
  <si>
    <t>I think is necessary to find a better way to maintain the clones, try iMEFs</t>
  </si>
  <si>
    <t xml:space="preserve">positive policlonal p1 </t>
  </si>
  <si>
    <t>Gorilla Gorilla</t>
  </si>
  <si>
    <t xml:space="preserve">Fibros from skin P2 </t>
  </si>
  <si>
    <t xml:space="preserve">Sendai 5 5 3 </t>
  </si>
  <si>
    <t>4. Clone#2, Clone#4 Clone#6 Clone#16</t>
  </si>
  <si>
    <t>positive #2 and #16</t>
  </si>
  <si>
    <t xml:space="preserve">ongoing </t>
  </si>
  <si>
    <t>All are positive for Nanog, Oct4, SSEA1 and TRA1-60</t>
  </si>
  <si>
    <t>ongoing</t>
  </si>
  <si>
    <t>10 vials Clone#2, 9 vials clone#4, 10 vials clone#6, 10 vials clone#16</t>
  </si>
  <si>
    <t>Clones are mantained on 80ug/ml GFR matrigel and mTeser in clumps</t>
  </si>
  <si>
    <t xml:space="preserve">Ciervo del padre David </t>
  </si>
  <si>
    <t>Mono araña</t>
  </si>
  <si>
    <t xml:space="preserve">Sendai 2 times </t>
  </si>
  <si>
    <t xml:space="preserve">A295 </t>
  </si>
  <si>
    <t xml:space="preserve">Lobo iberico </t>
  </si>
  <si>
    <t>Fibros from skin P1</t>
  </si>
  <si>
    <t>Sendai 5 5 3 and 7.5 7.5 4.5</t>
  </si>
  <si>
    <t xml:space="preserve">Fibros from placenta P2 </t>
  </si>
  <si>
    <t xml:space="preserve">Sendai 5 5 4 and 5 5 6 </t>
  </si>
  <si>
    <t>25 (from 554) 15 (from 556)</t>
  </si>
  <si>
    <t xml:space="preserve">Expanding 4 clones (15,20) </t>
  </si>
  <si>
    <t>positive clone #15 and 20</t>
  </si>
  <si>
    <t>Positive for Oct4,SSEa1 tra60 and tra81</t>
  </si>
  <si>
    <t xml:space="preserve">21 clones 2 vials each </t>
  </si>
  <si>
    <t>3 (554) 2(556) 1mefs 554 1mefs 556</t>
  </si>
  <si>
    <t>Clones are mantained on hES matrigel with mTeser + 10 ng/ml hLIF in clumps, naive morphology on iMEFS</t>
  </si>
  <si>
    <t>negative clones 14,15,20,21</t>
  </si>
  <si>
    <t>A274</t>
  </si>
  <si>
    <t xml:space="preserve">Papion </t>
  </si>
  <si>
    <t xml:space="preserve">Sendai 5 5 4 </t>
  </si>
  <si>
    <t>Redo with less cells with the same MOI 554</t>
  </si>
  <si>
    <t xml:space="preserve">Orango </t>
  </si>
  <si>
    <t>Episomal vector pMaster 2.5 ug</t>
  </si>
  <si>
    <t>Chimpazee</t>
  </si>
  <si>
    <t xml:space="preserve">Lipofectamine 7.5ul  is a little bit toxic. Next time 5 ul and redo THE MAXI the plasmid </t>
  </si>
  <si>
    <t xml:space="preserve">RNA kit </t>
  </si>
  <si>
    <t xml:space="preserve">RNAkit 2 trasfections </t>
  </si>
  <si>
    <t xml:space="preserve">30 colonies after 11 days </t>
  </si>
  <si>
    <t>Expanding one clones number 6</t>
  </si>
  <si>
    <t xml:space="preserve">Positive clone 6 </t>
  </si>
  <si>
    <t>Positive for Nanog and TRA1-60</t>
  </si>
  <si>
    <t xml:space="preserve">Lemur </t>
  </si>
  <si>
    <t>No success</t>
  </si>
  <si>
    <t>Titi</t>
  </si>
  <si>
    <t xml:space="preserve">Fibros skin P1 </t>
  </si>
  <si>
    <t>Sendai  5 5 4</t>
  </si>
  <si>
    <t xml:space="preserve">Elephant </t>
  </si>
  <si>
    <t>Episomal vector pMasterK</t>
  </si>
  <si>
    <t>Przewalski's horse</t>
  </si>
  <si>
    <t>Sendai 5 5 4</t>
  </si>
  <si>
    <t xml:space="preserve">2/3 colonies </t>
  </si>
  <si>
    <t>Fibros P2</t>
  </si>
  <si>
    <t>Quantification BA after Indexing PCR</t>
  </si>
  <si>
    <t>PROJECT ID</t>
  </si>
  <si>
    <t>SPECIMEN</t>
  </si>
  <si>
    <t>INTERNAL SAMPLE ID</t>
  </si>
  <si>
    <t>LIBRARY ID</t>
  </si>
  <si>
    <t>Indexing PCR cycles</t>
  </si>
  <si>
    <t>Size(bp)</t>
  </si>
  <si>
    <t>conc ng/ul</t>
  </si>
  <si>
    <t>nmol/l</t>
  </si>
  <si>
    <t>Index P5</t>
  </si>
  <si>
    <t>Index P7</t>
  </si>
  <si>
    <t>Cryozoo samples</t>
  </si>
  <si>
    <t>Wolf</t>
  </si>
  <si>
    <t>L-AD2</t>
  </si>
  <si>
    <t>14.0</t>
  </si>
  <si>
    <t>55.4</t>
  </si>
  <si>
    <t>IBE_WG_P5_163</t>
  </si>
  <si>
    <t>IBE_WG_P7_165</t>
  </si>
  <si>
    <t>L-AD4</t>
  </si>
  <si>
    <t>81.4</t>
  </si>
  <si>
    <t>IBE_WG_P5_175</t>
  </si>
  <si>
    <t>IBE_WG_P7_168</t>
  </si>
  <si>
    <t>Mono Arana</t>
  </si>
  <si>
    <t>L-AD5</t>
  </si>
  <si>
    <t>43.9</t>
  </si>
  <si>
    <t>156.1</t>
  </si>
  <si>
    <t>IBE_WG_P5_177</t>
  </si>
  <si>
    <t>IBE_WG_P7_171</t>
  </si>
  <si>
    <t>Otter</t>
  </si>
  <si>
    <t>L-AD8</t>
  </si>
  <si>
    <t>45.3</t>
  </si>
  <si>
    <t>161.7</t>
  </si>
  <si>
    <t>IBE_WG_P5_178</t>
  </si>
  <si>
    <t>IBE_WG_P7_174</t>
  </si>
  <si>
    <t>36.7</t>
  </si>
  <si>
    <t>130.2</t>
  </si>
  <si>
    <t>IBE_WG_P5_180</t>
  </si>
  <si>
    <t>IBE_WG_P7_176</t>
  </si>
  <si>
    <t>Lion BCN Zoo</t>
  </si>
  <si>
    <t>L-AD10</t>
  </si>
  <si>
    <t>49.0</t>
  </si>
  <si>
    <t>163.3</t>
  </si>
  <si>
    <t>IBE_WG_P5_181</t>
  </si>
  <si>
    <t>IBE_WG_P7_186</t>
  </si>
  <si>
    <t>L-AD11</t>
  </si>
  <si>
    <t>39.9</t>
  </si>
  <si>
    <t>143.3</t>
  </si>
  <si>
    <t>IBE_WG_P5_183</t>
  </si>
  <si>
    <t>IBE_WG_P7_203</t>
  </si>
  <si>
    <t>Jiraffe</t>
  </si>
  <si>
    <t>L-AD12</t>
  </si>
  <si>
    <t>34.7</t>
  </si>
  <si>
    <t>121.6</t>
  </si>
  <si>
    <t>IBE_WG_P5_184</t>
  </si>
  <si>
    <t>IBE_WG_P7_204</t>
  </si>
  <si>
    <t>Lion RunRun</t>
  </si>
  <si>
    <t>L-AD13</t>
  </si>
  <si>
    <t>37.0</t>
  </si>
  <si>
    <t>IBE_WG_P5_185</t>
  </si>
  <si>
    <t>IBE_WG_P7_208</t>
  </si>
  <si>
    <t>Lion Macho</t>
  </si>
  <si>
    <t>L-AD14</t>
  </si>
  <si>
    <t>9.52</t>
  </si>
  <si>
    <t>43.3</t>
  </si>
  <si>
    <t>IBE_WG_P5_189</t>
  </si>
  <si>
    <t>IBE_WG_P7_211</t>
  </si>
  <si>
    <t>109.9</t>
  </si>
  <si>
    <t>IBE_WG_P5_14</t>
  </si>
  <si>
    <t>IBE_WG_P7_3</t>
  </si>
  <si>
    <t>Cebra</t>
  </si>
  <si>
    <t>L-AD15</t>
  </si>
  <si>
    <t>45.9</t>
  </si>
  <si>
    <t>182.3</t>
  </si>
  <si>
    <t>IBE_WG_P5_35</t>
  </si>
  <si>
    <t>IBE_WG_P7_15</t>
  </si>
  <si>
    <t>Chimpa "la vieja"</t>
  </si>
  <si>
    <t>L-AD16</t>
  </si>
  <si>
    <t>38.4</t>
  </si>
  <si>
    <t>153.9</t>
  </si>
  <si>
    <t>IBE_WG_P5_74</t>
  </si>
  <si>
    <t>IBE_WG_P7_68</t>
  </si>
  <si>
    <t>L-AD18</t>
  </si>
  <si>
    <t>37.9</t>
  </si>
  <si>
    <t>149.5</t>
  </si>
  <si>
    <t>IBE_WG_P5_139</t>
  </si>
  <si>
    <t>IBE_WG_P7_135</t>
  </si>
  <si>
    <t>Gazela Dama</t>
  </si>
  <si>
    <t>L-AD19</t>
  </si>
  <si>
    <t>157.0</t>
  </si>
  <si>
    <t>A21</t>
  </si>
  <si>
    <t>L-AD21</t>
  </si>
  <si>
    <t>36.4</t>
  </si>
  <si>
    <t>120.1</t>
  </si>
  <si>
    <t>IBE_WG_P5_195</t>
  </si>
  <si>
    <t>IBE_WG_P7_214</t>
  </si>
  <si>
    <t>PD_1040</t>
  </si>
  <si>
    <t>AL1448</t>
  </si>
  <si>
    <t>QGH20-05335 ; BARCELONA / 13644</t>
  </si>
  <si>
    <t>Tomas, via BCN Zoo</t>
  </si>
  <si>
    <t>CGL_38</t>
  </si>
  <si>
    <t>KyleHQ</t>
  </si>
  <si>
    <t>Lemur</t>
  </si>
  <si>
    <t>catta</t>
  </si>
  <si>
    <t>unknown</t>
  </si>
  <si>
    <t>EB</t>
  </si>
  <si>
    <t>MagAttract HMW DNA kit</t>
  </si>
  <si>
    <t>25.02.2021</t>
  </si>
  <si>
    <t>21.05.2021</t>
  </si>
  <si>
    <t>EXPERIMENT</t>
  </si>
  <si>
    <t>CODE NUMBER</t>
  </si>
  <si>
    <t>METHOD</t>
  </si>
  <si>
    <t>COLONIES</t>
  </si>
  <si>
    <t>iPSC_1</t>
  </si>
  <si>
    <t>chimpancé</t>
  </si>
  <si>
    <t>chIPSC (A11)</t>
  </si>
  <si>
    <t xml:space="preserve">kit RNA </t>
  </si>
  <si>
    <t xml:space="preserve"> yes</t>
  </si>
  <si>
    <t>41 vials frozen</t>
  </si>
  <si>
    <t>iPSC_2</t>
  </si>
  <si>
    <t>lion</t>
  </si>
  <si>
    <t>kit RNA</t>
  </si>
  <si>
    <t>iPSC_3</t>
  </si>
  <si>
    <t>wolf</t>
  </si>
  <si>
    <t>iPSC_4</t>
  </si>
  <si>
    <t>iPSC_5</t>
  </si>
  <si>
    <t>apr-21</t>
  </si>
  <si>
    <t>orangutan</t>
  </si>
  <si>
    <t>GM04272 (A157)</t>
  </si>
  <si>
    <t>episomal transf</t>
  </si>
  <si>
    <t>yes</t>
  </si>
  <si>
    <t>7 clones frozen</t>
  </si>
  <si>
    <t>iPSC_6</t>
  </si>
  <si>
    <t>jan-21</t>
  </si>
  <si>
    <t xml:space="preserve">lion </t>
  </si>
  <si>
    <t>episomal transf *</t>
  </si>
  <si>
    <t>iPSC_7</t>
  </si>
  <si>
    <t>tití</t>
  </si>
  <si>
    <t>iPSC_8</t>
  </si>
  <si>
    <t>iPSC_9</t>
  </si>
  <si>
    <t>gacela</t>
  </si>
  <si>
    <t>iPSC_10</t>
  </si>
  <si>
    <t>iPSC_11</t>
  </si>
  <si>
    <t>iPSC_12</t>
  </si>
  <si>
    <t>iPSC_13</t>
  </si>
  <si>
    <t xml:space="preserve">cebra </t>
  </si>
  <si>
    <t>iPSC_14</t>
  </si>
  <si>
    <t>iPSC_15</t>
  </si>
  <si>
    <t>iPSC_16</t>
  </si>
  <si>
    <t>mono araña</t>
  </si>
  <si>
    <t>episomal nucleof.</t>
  </si>
  <si>
    <t>iPSC_17</t>
  </si>
  <si>
    <t>elefante (blood)</t>
  </si>
  <si>
    <t>iPSC_18</t>
  </si>
  <si>
    <t>sendai</t>
  </si>
  <si>
    <t>iPSC_19</t>
  </si>
  <si>
    <t>iPSC_20</t>
  </si>
  <si>
    <t>episomal transf.</t>
  </si>
  <si>
    <t>iPSC_21</t>
  </si>
  <si>
    <t>iPSC_22</t>
  </si>
  <si>
    <t>RNA lipo3000</t>
  </si>
  <si>
    <t>iPSC_23</t>
  </si>
  <si>
    <t>mandril</t>
  </si>
  <si>
    <t>RNA lipoRNA</t>
  </si>
  <si>
    <t>cont.</t>
  </si>
  <si>
    <t>iPSC_24</t>
  </si>
  <si>
    <t>iPSC_25</t>
  </si>
  <si>
    <t>"clones picked"</t>
  </si>
  <si>
    <t>iPSC_26</t>
  </si>
  <si>
    <t>oryx dammah</t>
  </si>
  <si>
    <t>iPSC_27</t>
  </si>
  <si>
    <t>double episomal tranf.</t>
  </si>
  <si>
    <t>iPSC_28</t>
  </si>
  <si>
    <t>seem that was working</t>
  </si>
  <si>
    <t>iPSC_29</t>
  </si>
  <si>
    <t>gen-22</t>
  </si>
  <si>
    <t>Sendai</t>
  </si>
  <si>
    <t>iPSC_30</t>
  </si>
  <si>
    <t>iPSC_31</t>
  </si>
  <si>
    <t>Ateles</t>
  </si>
  <si>
    <t>Jarek ?</t>
  </si>
  <si>
    <t>iPSC_32</t>
  </si>
  <si>
    <t>RNA lipoRNA and pMaster1</t>
  </si>
  <si>
    <t>iPSC_33</t>
  </si>
  <si>
    <t>Mono tití</t>
  </si>
  <si>
    <t>iPSC_34</t>
  </si>
  <si>
    <t>Sanguinus</t>
  </si>
  <si>
    <t>iPSC_35</t>
  </si>
  <si>
    <t>Pumba</t>
  </si>
  <si>
    <t>iPSC_36</t>
  </si>
  <si>
    <t>Mandril</t>
  </si>
  <si>
    <t>iPSC_37</t>
  </si>
  <si>
    <t>Mangabey gris</t>
  </si>
  <si>
    <t>iPSC_38</t>
  </si>
  <si>
    <t>Mangabey collar</t>
  </si>
  <si>
    <t>iPSC_39</t>
  </si>
  <si>
    <t>Suricata</t>
  </si>
  <si>
    <t>NUMBER</t>
  </si>
  <si>
    <t>NAME</t>
  </si>
  <si>
    <t>ZIMS/local ID</t>
  </si>
  <si>
    <t>CITES</t>
  </si>
  <si>
    <t>CITES NUMBER</t>
  </si>
  <si>
    <t>TISSUE</t>
  </si>
  <si>
    <t>ANALYSIS</t>
  </si>
  <si>
    <t>Montseny Brook newt</t>
  </si>
  <si>
    <t>Skin/larva</t>
  </si>
  <si>
    <t>Running</t>
  </si>
  <si>
    <t>De Brazza’s Monkey</t>
  </si>
  <si>
    <t>II</t>
  </si>
  <si>
    <t>Cell Lines</t>
  </si>
  <si>
    <t>Varanus albigularis</t>
  </si>
  <si>
    <t>White-throated monitor</t>
  </si>
  <si>
    <t>Dama Gazelle</t>
  </si>
  <si>
    <t>Cell Lines /Karyotype/ Sequence</t>
  </si>
  <si>
    <t>Scimitar-horned Oryx</t>
  </si>
  <si>
    <t>Lama guanicoe</t>
  </si>
  <si>
    <t>Gazella Dorcas</t>
  </si>
  <si>
    <t>Dorcas Gazelle</t>
  </si>
  <si>
    <t>Skin/Placenta</t>
  </si>
  <si>
    <t>Cell Lines/karyotype</t>
  </si>
  <si>
    <t>Miopithecus ogouensis</t>
  </si>
  <si>
    <t>Northern Talapoin Monkey</t>
  </si>
  <si>
    <t>Running/Fibro</t>
  </si>
  <si>
    <t>Blue-breasted kingfisher</t>
  </si>
  <si>
    <t>Try</t>
  </si>
  <si>
    <t>Bongo</t>
  </si>
  <si>
    <t>Failed/ No sample left</t>
  </si>
  <si>
    <t>Camelus bactrianus</t>
  </si>
  <si>
    <t>Bactrian Camel</t>
  </si>
  <si>
    <t>Asian Elephant</t>
  </si>
  <si>
    <t>Bearded Emperor Tamarin</t>
  </si>
  <si>
    <t>Black-crowned night heron</t>
  </si>
  <si>
    <t>Striated heron</t>
  </si>
  <si>
    <t>Rosy-billed Pochard</t>
  </si>
  <si>
    <t>White-naped Mangabey</t>
  </si>
  <si>
    <t>Barbary Sheep</t>
  </si>
  <si>
    <t>Brown Spider Monkey</t>
  </si>
  <si>
    <t>Lion</t>
  </si>
  <si>
    <t>Capybara</t>
  </si>
  <si>
    <t>Cont/ No sample left</t>
  </si>
  <si>
    <t>Banded Mongoose</t>
  </si>
  <si>
    <t>Black-cheeked Lovebird</t>
  </si>
  <si>
    <t>Lilacine Amazon</t>
  </si>
  <si>
    <t>Running/Fibros</t>
  </si>
  <si>
    <t>Ambystoma mexicanum</t>
  </si>
  <si>
    <t>Axolotl</t>
  </si>
  <si>
    <t>West European Hedgehog</t>
  </si>
  <si>
    <t>Superb Starling</t>
  </si>
  <si>
    <t>European pied flycatcher</t>
  </si>
  <si>
    <t>Choeropsis liberiensis</t>
  </si>
  <si>
    <t>Pygmi Hippopotamus</t>
  </si>
  <si>
    <t>Eurasian otter</t>
  </si>
  <si>
    <t>Ring-tailed Lemur</t>
  </si>
  <si>
    <t>Tursiops truncatus</t>
  </si>
  <si>
    <t>Bottlenose dolphin</t>
  </si>
  <si>
    <t>Canis lupus signatus</t>
  </si>
  <si>
    <t>Spanish Wolf</t>
  </si>
  <si>
    <t>Eurasian scops owl</t>
  </si>
  <si>
    <t>Grosbeak Starling</t>
  </si>
  <si>
    <t>Pan troglodytes troglodytes</t>
  </si>
  <si>
    <t>Cell Lines /Karyotype/ Sequence /iPSC</t>
  </si>
  <si>
    <t>Equus burchelli chapmanni</t>
  </si>
  <si>
    <t>Chapman's zebra</t>
  </si>
  <si>
    <t>Giraffa camelopardalis</t>
  </si>
  <si>
    <t>Cameleopardis giraffe</t>
  </si>
  <si>
    <t>QGH19-05277-IA</t>
  </si>
  <si>
    <t>Black Wildebeest</t>
  </si>
  <si>
    <t>I</t>
  </si>
  <si>
    <t>ES-BB-00302/21C</t>
  </si>
  <si>
    <t>Equus quagga chapmani</t>
  </si>
  <si>
    <t>III</t>
  </si>
  <si>
    <t>ES-BB-00304/21C</t>
  </si>
  <si>
    <t>ES-BB-00327/21C</t>
  </si>
  <si>
    <t>Otus scops scops</t>
  </si>
  <si>
    <t>Mallorcan midwife toad</t>
  </si>
  <si>
    <t>13644/QGH20-05335</t>
  </si>
  <si>
    <t>ES-BB-00328/21C</t>
  </si>
  <si>
    <t>Ficedula hypoleuca</t>
  </si>
  <si>
    <t>MIG12-28643043/[9162/BARCELONA</t>
  </si>
  <si>
    <t>Nycticorax nycticorax</t>
  </si>
  <si>
    <t>MIG12-29591016/10894</t>
  </si>
  <si>
    <t>QGH16-04243/BARCELONA / 12808</t>
  </si>
  <si>
    <t>Platalea leucorodia leucorodia</t>
  </si>
  <si>
    <t>QGH16-02512/BARCELONA / 12679</t>
  </si>
  <si>
    <t xml:space="preserve">QGH21-05618/13840 </t>
  </si>
  <si>
    <t>QGH16-04193/BARCELONA / 12808</t>
  </si>
  <si>
    <t>MIG12-29918008/BARCELONA / 11343</t>
  </si>
  <si>
    <t>Aepycerus Melampus</t>
  </si>
  <si>
    <t>Nakheila gazelle</t>
  </si>
  <si>
    <t>QGH15-02460/BARCELONA / 12615</t>
  </si>
  <si>
    <t>QGH21-05797/ BARCELONA / 13934</t>
  </si>
  <si>
    <t>Gabon talapoin</t>
  </si>
  <si>
    <t xml:space="preserve">Gazella dorcas osiris </t>
  </si>
  <si>
    <t>BARCELONA / 13096</t>
  </si>
  <si>
    <t>20702/BARCELONA / 5541</t>
  </si>
  <si>
    <t>17968259/ BARCELONA / 6321</t>
  </si>
  <si>
    <t>MIG12-28152170/13063/BARCELONA</t>
  </si>
  <si>
    <t xml:space="preserve">Varanus albigularis </t>
  </si>
  <si>
    <t>QGH18-04891/ BARCELONA / 13202</t>
  </si>
  <si>
    <t>Common Wildebeest</t>
  </si>
  <si>
    <t>19494545/</t>
  </si>
  <si>
    <t>Red-capped mangabey</t>
  </si>
  <si>
    <t>QGH14-02193/ BARCELONA / 12333</t>
  </si>
  <si>
    <t>Balkan Hermann's tortoise</t>
  </si>
  <si>
    <t>20910513/ BARCELONA / 9831</t>
  </si>
  <si>
    <t>Pteropus liley</t>
  </si>
  <si>
    <t>17963235/ BARCELONA / 5732</t>
  </si>
  <si>
    <t>Cercocebus Torquatus</t>
  </si>
  <si>
    <t>MIG12-29917992</t>
  </si>
  <si>
    <t>Leopard</t>
  </si>
  <si>
    <t>27767571/BARCELONA / 10859</t>
  </si>
  <si>
    <t>QGH16-02496 BARCELONA / 12663</t>
  </si>
  <si>
    <t>QGH16-04243/BARCELONA / 12855</t>
  </si>
  <si>
    <t>Crocuta crocuta</t>
  </si>
  <si>
    <t>Spotted hyena</t>
  </si>
  <si>
    <t>MIG12-29918001/BARCELONA / 11307</t>
  </si>
  <si>
    <t>QGH18-04841/BARCELONA / 13160</t>
  </si>
  <si>
    <t>Dabb spiny-tailed lizard</t>
  </si>
  <si>
    <t>MIG12-29661834/ BARCELONA / 11362</t>
  </si>
  <si>
    <t>Red Panda</t>
  </si>
  <si>
    <t>QGH13-01156/BARCELONA / 11932</t>
  </si>
  <si>
    <t>Scarlet ibis</t>
  </si>
  <si>
    <t>MIG12-28706350/BARCELONA / 11082</t>
  </si>
  <si>
    <t>27181719/BARCELONA / 8940</t>
  </si>
  <si>
    <t>Spotted deer</t>
  </si>
  <si>
    <t>QGH14-02142/BARCELONA / 12283</t>
  </si>
  <si>
    <t>QGH20-05511/BARCELONA / 13788</t>
  </si>
  <si>
    <t>Speckled Mousebird</t>
  </si>
  <si>
    <t>QGH21-05850/ BARCELONA / 13966</t>
  </si>
  <si>
    <t>Spiny Turtle</t>
  </si>
  <si>
    <t>6169827/BARCELONA / 7683</t>
  </si>
  <si>
    <t>QGH20-05339/BARCELONA / 13648</t>
  </si>
  <si>
    <t>QGH20-05394/BARCELONA / 13692</t>
  </si>
  <si>
    <t xml:space="preserve">phachoeros africanus </t>
  </si>
  <si>
    <t>Warthog</t>
  </si>
  <si>
    <t>MIG12-28621074/BARCELONA / 11036</t>
  </si>
  <si>
    <t>Golden conure</t>
  </si>
  <si>
    <t>MIG12-28325141/ BARCELONA / 2629</t>
  </si>
  <si>
    <t>Glossy Ibis</t>
  </si>
  <si>
    <t>25328829/BARCELONA / 5328</t>
  </si>
  <si>
    <t>Black-naped Fruit-dove</t>
  </si>
  <si>
    <t>MIG12-28149323/BARCELONA / 11162</t>
  </si>
  <si>
    <t>Waldrapp ibis</t>
  </si>
  <si>
    <t>ZDW17-03177/BARCELONA / 13500</t>
  </si>
  <si>
    <t>Socorro dove</t>
  </si>
  <si>
    <t>DMP17-00807/BARCELONA / 13762</t>
  </si>
  <si>
    <t>eurgpygra helios</t>
  </si>
  <si>
    <t>TPC14-02438/BARCELONA / 12461</t>
  </si>
  <si>
    <t>Meerkat</t>
  </si>
  <si>
    <t>QGH12-00163/BARCELONA /11592</t>
  </si>
  <si>
    <t>QGH13-01121/BARCELONA /11916</t>
  </si>
  <si>
    <t>QGH16-04272/BARCELONA/12887</t>
  </si>
  <si>
    <t>Violet turaco</t>
  </si>
  <si>
    <t>Domestic goat</t>
  </si>
  <si>
    <t>MIG12-28179109/BARCELONA 7847</t>
  </si>
  <si>
    <t>Luzon bleeding-heart dove</t>
  </si>
  <si>
    <t>ILLUMINA</t>
  </si>
  <si>
    <t xml:space="preserve"> ORG.ONE</t>
  </si>
  <si>
    <t>FIBROS</t>
  </si>
  <si>
    <t>KARYOTYPE</t>
  </si>
  <si>
    <t>DNA EXTRACT</t>
  </si>
  <si>
    <t>iPSC</t>
  </si>
  <si>
    <t>Sample</t>
  </si>
  <si>
    <t>Species</t>
  </si>
  <si>
    <t>Estatus</t>
  </si>
  <si>
    <t>Ateles Hybridus</t>
  </si>
  <si>
    <t>DONE</t>
  </si>
  <si>
    <t>Enviat</t>
  </si>
  <si>
    <t xml:space="preserve">No fibros </t>
  </si>
  <si>
    <t xml:space="preserve">Panthera leo bleyenberghi </t>
  </si>
  <si>
    <t>RNA transf.</t>
  </si>
  <si>
    <t>Cercocebus  lunulatus</t>
  </si>
  <si>
    <t>Sanguinus imperator subgrisescens</t>
  </si>
  <si>
    <t>A83?</t>
  </si>
  <si>
    <t>Done</t>
  </si>
  <si>
    <t>No resuts</t>
  </si>
  <si>
    <t>Murcielago</t>
  </si>
  <si>
    <t>No fibros, Cont</t>
  </si>
  <si>
    <t>Pellet (1xT75)</t>
  </si>
  <si>
    <t>Oryx Dammah</t>
  </si>
  <si>
    <t xml:space="preserve">Priority </t>
  </si>
  <si>
    <t>Pongo pygmaeus pygmaeus</t>
  </si>
  <si>
    <t>Enviado</t>
  </si>
  <si>
    <t>Pellet (3x3M)</t>
  </si>
  <si>
    <t>Cont.no fibros (running)</t>
  </si>
  <si>
    <t>DNA</t>
  </si>
  <si>
    <t>No Fibros</t>
  </si>
  <si>
    <t>1 try</t>
  </si>
  <si>
    <t>NO results</t>
  </si>
  <si>
    <t>Mandrill</t>
  </si>
  <si>
    <t>Camelus Bactranius</t>
  </si>
  <si>
    <t>Ready (sent)</t>
  </si>
  <si>
    <t>Eulemur fulvus</t>
  </si>
  <si>
    <t>Cercopithecus</t>
  </si>
  <si>
    <t>No expand.</t>
  </si>
  <si>
    <t>FIBROS not growing</t>
  </si>
  <si>
    <t>Pellet</t>
  </si>
  <si>
    <t xml:space="preserve">Fibros </t>
  </si>
  <si>
    <t>Pellet (A189)</t>
  </si>
  <si>
    <t>Pellet (A190)</t>
  </si>
  <si>
    <t>Cont</t>
  </si>
  <si>
    <t>Pellet (A191)</t>
  </si>
  <si>
    <t>Pellet (A192)</t>
  </si>
  <si>
    <t>Cercopithecus  neglectus</t>
  </si>
  <si>
    <t>Bison bonasus</t>
  </si>
  <si>
    <t>Fribros (retray samples)</t>
  </si>
  <si>
    <t>Fibros Running</t>
  </si>
  <si>
    <t>Aratinga Solstitialis</t>
  </si>
  <si>
    <t>Callinula chloropus</t>
  </si>
  <si>
    <t>DONE(by LAB)</t>
  </si>
  <si>
    <t>Enviado(by LAB)</t>
  </si>
  <si>
    <t>Macaca</t>
  </si>
  <si>
    <t>no fibros (running)</t>
  </si>
  <si>
    <t>try</t>
  </si>
  <si>
    <t xml:space="preserve">Aepycerus Melampus </t>
  </si>
  <si>
    <t xml:space="preserve">no fibros </t>
  </si>
  <si>
    <t>no fibros</t>
  </si>
  <si>
    <t>Mangabey</t>
  </si>
  <si>
    <t>Heosemys spinosa</t>
  </si>
  <si>
    <t>Gynglimostoma cirratum</t>
  </si>
  <si>
    <t>Sample Name</t>
  </si>
  <si>
    <t>Nucleic Acid(ng/uL)</t>
  </si>
  <si>
    <t>A260/A280</t>
  </si>
  <si>
    <t>A260/A230</t>
  </si>
  <si>
    <t>ug</t>
  </si>
  <si>
    <t>Giraffe</t>
  </si>
  <si>
    <t xml:space="preserve"> A12</t>
  </si>
  <si>
    <t xml:space="preserve">A2 </t>
  </si>
  <si>
    <t>61.1</t>
  </si>
  <si>
    <t>1.90</t>
  </si>
  <si>
    <t>270.9</t>
  </si>
  <si>
    <t>1.80</t>
  </si>
  <si>
    <t>586.4</t>
  </si>
  <si>
    <t>2.16</t>
  </si>
  <si>
    <t>2.14</t>
  </si>
  <si>
    <t>137.4</t>
  </si>
  <si>
    <t>1.78</t>
  </si>
  <si>
    <t>823.4</t>
  </si>
  <si>
    <t>16.46</t>
  </si>
  <si>
    <t>7.95</t>
  </si>
  <si>
    <t xml:space="preserve">Choeropsis liberiensis </t>
  </si>
  <si>
    <t>649.7</t>
  </si>
  <si>
    <t>12.99</t>
  </si>
  <si>
    <t>6.27</t>
  </si>
  <si>
    <t>130.4</t>
  </si>
  <si>
    <t>1.96</t>
  </si>
  <si>
    <t>1.32</t>
  </si>
  <si>
    <t>222.6</t>
  </si>
  <si>
    <t>4.45</t>
  </si>
  <si>
    <t>2.20</t>
  </si>
  <si>
    <t>Balearica pavonina? Mangosta?</t>
  </si>
  <si>
    <t>367.9</t>
  </si>
  <si>
    <t>7.35</t>
  </si>
  <si>
    <t>3.60</t>
  </si>
  <si>
    <t>103.3</t>
  </si>
  <si>
    <t>1.98</t>
  </si>
  <si>
    <t>519.8</t>
  </si>
  <si>
    <t>10.39</t>
  </si>
  <si>
    <t>227.7</t>
  </si>
  <si>
    <t>4.55</t>
  </si>
  <si>
    <t>2.24</t>
  </si>
  <si>
    <t>1.97</t>
  </si>
  <si>
    <t>0.52</t>
  </si>
  <si>
    <t>602.3</t>
  </si>
  <si>
    <t>5.91</t>
  </si>
  <si>
    <t>1726.6</t>
  </si>
  <si>
    <t>2.13</t>
  </si>
  <si>
    <t>34.5</t>
  </si>
  <si>
    <t>16.52</t>
  </si>
  <si>
    <t>uL to 2 ug</t>
  </si>
  <si>
    <t>104.6</t>
  </si>
  <si>
    <t>37.7</t>
  </si>
  <si>
    <t>1.93</t>
  </si>
  <si>
    <t>4.54</t>
  </si>
  <si>
    <t>116.7</t>
  </si>
  <si>
    <t>2.43</t>
  </si>
  <si>
    <t>4.67</t>
  </si>
  <si>
    <t>219.2</t>
  </si>
  <si>
    <t>2.55</t>
  </si>
  <si>
    <t>8.76</t>
  </si>
  <si>
    <t>101.1</t>
  </si>
  <si>
    <t>1.88</t>
  </si>
  <si>
    <t>186.6</t>
  </si>
  <si>
    <t>2.46</t>
  </si>
  <si>
    <t>198.5</t>
  </si>
  <si>
    <t>2.50</t>
  </si>
  <si>
    <t>A260/A280 (1.8-2)</t>
  </si>
  <si>
    <t xml:space="preserve">ul </t>
  </si>
  <si>
    <t>quantity (ng)</t>
  </si>
  <si>
    <t xml:space="preserve">A274 Papion </t>
  </si>
  <si>
    <t>520.4</t>
  </si>
  <si>
    <t xml:space="preserve">A278 Gorilla </t>
  </si>
  <si>
    <t>280.7</t>
  </si>
  <si>
    <t>A282 Mono araña</t>
  </si>
  <si>
    <t>55.6</t>
  </si>
  <si>
    <t>1.82</t>
  </si>
  <si>
    <t>A404</t>
  </si>
  <si>
    <t xml:space="preserve">ORIGIN </t>
  </si>
  <si>
    <t xml:space="preserve">FECHA /CODIGO </t>
  </si>
  <si>
    <t>COMMON NAME</t>
  </si>
  <si>
    <t>STATUS</t>
  </si>
  <si>
    <t>2012-0004</t>
  </si>
  <si>
    <t>ARANTINGA GUAROUBA</t>
  </si>
  <si>
    <t>PARROT</t>
  </si>
  <si>
    <t>BRAIN</t>
  </si>
  <si>
    <t xml:space="preserve">no result </t>
  </si>
  <si>
    <t>2012-75</t>
  </si>
  <si>
    <t>SURICATA SURICATTA</t>
  </si>
  <si>
    <t>SURRICATTA</t>
  </si>
  <si>
    <t>SPLEEN</t>
  </si>
  <si>
    <t>no result</t>
  </si>
  <si>
    <t>COMMENTS:</t>
  </si>
  <si>
    <t>no fibroblast proliferation in any of the samples / bad cryopreservation</t>
  </si>
  <si>
    <t>2012-125</t>
  </si>
  <si>
    <t xml:space="preserve">AMAZONA AESTIVA </t>
  </si>
  <si>
    <t>KIDNEY</t>
  </si>
  <si>
    <t>2012-0112</t>
  </si>
  <si>
    <t>THRESKIORNIS AETHIOPICUS</t>
  </si>
  <si>
    <t>BIRD</t>
  </si>
  <si>
    <t>2012-94</t>
  </si>
  <si>
    <t>ANAS PLATYRHYNCOS</t>
  </si>
  <si>
    <t>2012-87</t>
  </si>
  <si>
    <t>AMMOTRAGRUS LERVIA</t>
  </si>
  <si>
    <t>MUFLON</t>
  </si>
  <si>
    <t>contaminated</t>
  </si>
  <si>
    <t>2012-2</t>
  </si>
  <si>
    <t>NANGER DAMA</t>
  </si>
  <si>
    <t>GAZELLE</t>
  </si>
  <si>
    <t>L. MESEN.</t>
  </si>
  <si>
    <t>trying</t>
  </si>
  <si>
    <t>2012-80</t>
  </si>
  <si>
    <t>HEXAPROTODON LIBERIENSIS</t>
  </si>
  <si>
    <t xml:space="preserve">HIPPOPOTAMUS </t>
  </si>
  <si>
    <t>????</t>
  </si>
  <si>
    <t>HEART</t>
  </si>
  <si>
    <t>2012-61</t>
  </si>
  <si>
    <t>CALLTHRIX GEOFFROY</t>
  </si>
  <si>
    <t>MONKEY</t>
  </si>
  <si>
    <t>???</t>
  </si>
  <si>
    <t>2012-57</t>
  </si>
  <si>
    <t>S. HUMBOLDTI</t>
  </si>
  <si>
    <t>PINGUINS</t>
  </si>
  <si>
    <t>2012-100</t>
  </si>
  <si>
    <t>MIOPITHECUS TALAPOIN</t>
  </si>
  <si>
    <t>2012-81</t>
  </si>
  <si>
    <t>STRUTHIUS CAMELUS</t>
  </si>
  <si>
    <t>OSTRICH</t>
  </si>
  <si>
    <t>2012-008</t>
  </si>
  <si>
    <t>GORILLA GORILLA</t>
  </si>
  <si>
    <t>GORILLA</t>
  </si>
  <si>
    <t>LYMPH NODE</t>
  </si>
  <si>
    <t>2012-168</t>
  </si>
  <si>
    <t>DUODENO</t>
  </si>
  <si>
    <t xml:space="preserve">trying </t>
  </si>
  <si>
    <t>2012-68</t>
  </si>
  <si>
    <t xml:space="preserve">DOLICHOTIS PATAGONUM </t>
  </si>
  <si>
    <t>RODENT</t>
  </si>
  <si>
    <t>h</t>
  </si>
  <si>
    <t>Common Name</t>
  </si>
  <si>
    <t>ZIMS</t>
  </si>
  <si>
    <t>Family</t>
  </si>
  <si>
    <t>Referecne</t>
  </si>
  <si>
    <t>Passage</t>
  </si>
  <si>
    <t>Extraction Date</t>
  </si>
  <si>
    <t>Information</t>
  </si>
  <si>
    <t>Comments</t>
  </si>
  <si>
    <t>10500 / 25402188</t>
  </si>
  <si>
    <t>Mammalia</t>
  </si>
  <si>
    <t>Mustelidae</t>
  </si>
  <si>
    <t>p5</t>
  </si>
  <si>
    <t>https://drive.google.com/drive/folders/1J00c6j0QouXfUt17ttL36pSIaFPKIeoj</t>
  </si>
  <si>
    <r>
      <rPr>
        <rFont val="Arial"/>
        <color rgb="FF222222"/>
      </rPr>
      <t>i</t>
    </r>
    <r>
      <rPr>
        <rFont val="Arial"/>
        <color rgb="FF222222"/>
        <sz val="10.0"/>
      </rPr>
      <t>ncrementar el tiempo de colcemid a 5 o 6 horas porque el crecimiento de las células es quizás más lento</t>
    </r>
  </si>
  <si>
    <t>MIG12-29591105</t>
  </si>
  <si>
    <t>Felidae</t>
  </si>
  <si>
    <t>MIG12-29917973</t>
  </si>
  <si>
    <t>Bovidae</t>
  </si>
  <si>
    <t>p3</t>
  </si>
  <si>
    <t>Mhorr Gazelle</t>
  </si>
  <si>
    <t xml:space="preserve">   ?</t>
  </si>
  <si>
    <t>Unpublish ?</t>
  </si>
  <si>
    <t>Giraffidae</t>
  </si>
  <si>
    <t>p4</t>
  </si>
  <si>
    <t>https://drive.google.com/file/d/1YUhiq2itemW3Ygbq449AEReYPJ9tFYXc/view?usp=sharing</t>
  </si>
  <si>
    <t>Delphinidae</t>
  </si>
  <si>
    <t>no hemos encontrado metafases prácticamente en los portaobjetos</t>
  </si>
  <si>
    <t>Brown Spyder Monkey</t>
  </si>
  <si>
    <t>Atelidae</t>
  </si>
  <si>
    <t>https://drive.google.com/file/d/1MPzasOIDO7R6zdaYbfi2-_iWIya6Cqjv/view?usp=sharing</t>
  </si>
  <si>
    <t>no hay suficientes metafases para elaborar un cariotipo.</t>
  </si>
  <si>
    <t>Hominidae</t>
  </si>
  <si>
    <t>https://drive.google.com/file/d/1k2M2EcJqZoykJ-V7JLYByCeT2GIPEllg/view?usp=sharing</t>
  </si>
  <si>
    <t>menos de 10 metafases en total, así que tampoco es suficiente para poder elaborar un cariotipo</t>
  </si>
  <si>
    <t>Oryx Gazella</t>
  </si>
  <si>
    <t>Gacela</t>
  </si>
  <si>
    <t>p6</t>
  </si>
  <si>
    <t>https://drive.google.com/file/d/1tnM_CH74YveOjnTAVQtqsvllqVzPsm5b/view?usp=sharing</t>
  </si>
  <si>
    <t>no pellet</t>
  </si>
  <si>
    <t>Monkey</t>
  </si>
  <si>
    <t>Callitrichidae</t>
  </si>
  <si>
    <t>Canidae</t>
  </si>
  <si>
    <t>https://drive.google.com/file/d/1KthLkpA4V95cGyItJVnM248WmPZ5GPzK/view?usp=sharing</t>
  </si>
  <si>
    <t>low metaphase density</t>
  </si>
  <si>
    <t>Hippopotamus</t>
  </si>
  <si>
    <t>Hippopotamidae</t>
  </si>
  <si>
    <t>p7</t>
  </si>
  <si>
    <t>https://drive.google.com/file/d/1X8EsUUnk72QeNqPD7ykraQ-QB_H0DFXf/view?usp=sharing</t>
  </si>
  <si>
    <t>Equidae</t>
  </si>
  <si>
    <t>https://drive.google.com/file/d/1RhI7vpKQsyfu2MZldQFfTfBgLSrNhuh6/view?usp=sharing</t>
  </si>
  <si>
    <t>https://drive.google.com/file/d/1nz10_5vYqUN3D9U_XBXT1L4H-dObIub4/view?usp=sharing</t>
  </si>
  <si>
    <t>https://drive.google.com/file/d/1M9ChAP231oQV5Ov4oGE9Hz2QH3D6ppPW/view?usp=sharing</t>
  </si>
  <si>
    <t>Muflon</t>
  </si>
  <si>
    <t>https://drive.google.com/file/d/1p05Gxlj18jT3sMHCCspM6U2qiiEXWaUu/view?usp=sharing</t>
  </si>
  <si>
    <t>Herpestidae</t>
  </si>
  <si>
    <t>https://drive.google.com/file/d/1xhvLfSECEOEJbW09EMDrGsELfwL5b7Ks/view?usp=sharing</t>
  </si>
  <si>
    <t>chIPSC #23</t>
  </si>
  <si>
    <t>p18</t>
  </si>
  <si>
    <t>https://drive.google.com/file/d/1HhCImtqXzCLrBLUFkawUDrv-VH7f-7Qp/view?usp=sharing</t>
  </si>
  <si>
    <t>chIPSC #24</t>
  </si>
  <si>
    <t>https://drive.google.com/file/d/1dR08G02oRlHFXADJCr3_QjX3Uwr7ppBB/view?usp=sharing</t>
  </si>
  <si>
    <t>https://drive.google.com/file/d/1xCCP6OcngiXNT-PJAFwwHiLhGsezJU_R/view?usp=sharing</t>
  </si>
  <si>
    <t>Cercocebus atys</t>
  </si>
  <si>
    <t>Cercopithecidae</t>
  </si>
  <si>
    <t>Dolichotis patagonum</t>
  </si>
  <si>
    <t>Liebre</t>
  </si>
  <si>
    <t>Caviidae</t>
  </si>
  <si>
    <t>https://drive.google.com/file/d/1XW82lzDTnM_PdSXjtqcsIDqfsycxW4L5/view?usp=sharing</t>
  </si>
  <si>
    <t>https://drive.google.com/file/d/19ja43o_ogocYBiFghE_5NXglAq05KU2_/view?usp=sharing</t>
  </si>
  <si>
    <t>Sanguinus imperator</t>
  </si>
  <si>
    <t>Emperor tamarin</t>
  </si>
  <si>
    <t>https://drive.google.com/file/d/1ZoV_3QeFjftuPgsWNxQSEtKGU2-614b4/view?usp=sharing</t>
  </si>
  <si>
    <t>https://drive.google.com/file/d/10elhRfNrDwMac4iYLoVtXnoJSFEdTQ-K/view?usp=sharing</t>
  </si>
  <si>
    <t>https://drive.google.com/file/d/1zWUMSqBeEnIMvUwu9rMIy8XODaLzdh0f/view?usp=sharing</t>
  </si>
  <si>
    <t>Rata cellarda</t>
  </si>
  <si>
    <t>Gliridae</t>
  </si>
  <si>
    <t>https://drive.google.com/file/d/10P8wscDPIc_6G74TNH6mblw5ZP0GNHv_/view?usp=sharing</t>
  </si>
  <si>
    <t xml:space="preserve">Jirafa </t>
  </si>
  <si>
    <t>https://drive.google.com/file/d/1su9uKaBBhxPgSJ4rUeWiBzxkS2_rOoU-/view?usp=sharing</t>
  </si>
  <si>
    <t>Aneuploidia</t>
  </si>
  <si>
    <t>TGD16-00658</t>
  </si>
  <si>
    <t>https://drive.google.com/file/d/1o5hVAWtuR83X0NFQAxDQ7R_vE7Azgxul/view?usp=sharing</t>
  </si>
  <si>
    <t>https://drive.google.com/file/d/1BnP75yYLhaC5DraI8nH1XuT1zEbIGY74/view?usp=sharing</t>
  </si>
  <si>
    <t xml:space="preserve">tórtola </t>
  </si>
  <si>
    <t>Bird</t>
  </si>
  <si>
    <t>Columbidae</t>
  </si>
  <si>
    <t>https://drive.google.com/file/d/1aeq7JJo93sPhVEBRHlyIW1SXn_C5dwaL/view?usp=sharing</t>
  </si>
  <si>
    <t>Camelidae</t>
  </si>
  <si>
    <t>https://drive.google.com/file/d/1_0ktolzrzlzPZ65DTuIOKbL5s7ZwLSfV/view?usp=sharing</t>
  </si>
  <si>
    <t>Cotton-headed Tamarin</t>
  </si>
  <si>
    <t>https://drive.google.com/file/d/1OEb0MJDV3pW73614LmT-h1kNgW1Wm_iV/view?usp=sharing</t>
  </si>
  <si>
    <t xml:space="preserve">Pongo </t>
  </si>
  <si>
    <t>orangután</t>
  </si>
  <si>
    <t>https://drive.google.com/file/d/1dMWNPJFIQd9GzV7g0r7cFMenRfVEQb8C/view?usp=sharing</t>
  </si>
  <si>
    <t xml:space="preserve">Mammalia </t>
  </si>
  <si>
    <t>Ailuridae</t>
  </si>
  <si>
    <t>Spheniscus demersus</t>
  </si>
  <si>
    <t>Jackass penguin</t>
  </si>
  <si>
    <t>https://drive.google.com/file/d/1vPXuD3u_P4yFmzix08tfXyu2Tyo1Buoo/view?usp=sharing</t>
  </si>
  <si>
    <t>White stork</t>
  </si>
  <si>
    <t>Ciconiidae</t>
  </si>
  <si>
    <t xml:space="preserve">A101 </t>
  </si>
  <si>
    <t>https://drive.google.com/file/d/1hdoGXjSTJeWWxTTrFNXLZ8d4n3HS3vnK/view?usp=sharing</t>
  </si>
  <si>
    <t xml:space="preserve">A94 </t>
  </si>
  <si>
    <t>https://drive.google.com/file/d/1sd95Fd7O335DB-_zCO1zeWseZJy_8h3a/view?usp=sharing</t>
  </si>
  <si>
    <t>https://drive.google.com/file/d/1VUHl8lOpqb98SqkAC85KA8UxRZrEIa79/view?usp=sharing</t>
  </si>
  <si>
    <t>Yellow-footed Rock Wallaby</t>
  </si>
  <si>
    <t>Macropodidae</t>
  </si>
  <si>
    <t>https://drive.google.com/file/d/1P0B42r_DLnqHgakgJ2w4NjmiIEhcjLaE/view?usp=sharing</t>
  </si>
  <si>
    <t>Otaria flavescens</t>
  </si>
  <si>
    <t>South American Sea Lion</t>
  </si>
  <si>
    <t>Otariidae</t>
  </si>
  <si>
    <t>https://drive.google.com/file/d/1sxbdnJwWNA4fNqp5DkHQG2__K6O4V540/view?usp=sharing</t>
  </si>
  <si>
    <t>https://drive.google.com/file/d/1woSr_0U-cIeHAgNiH8H-ibaVljcJVjlQ/view?usp=sharing</t>
  </si>
  <si>
    <t>No metahpases</t>
  </si>
  <si>
    <t>Cuvier's Gazelle</t>
  </si>
  <si>
    <t xml:space="preserve">A79 </t>
  </si>
  <si>
    <t>https://drive.google.com/file/d/1Q49xYnBeg41W0aMetACjl4RDy-lsv-0P/view?usp=sharing</t>
  </si>
  <si>
    <t>https://drive.google.com/file/d/1ht1_nbkCiB90cBzOmNmpqK7bdnj2jrCL/view?usp=sharing</t>
  </si>
  <si>
    <t>Common brown lemur</t>
  </si>
  <si>
    <t>Lemuridae</t>
  </si>
  <si>
    <t>https://drive.google.com/file/d/1Xs11d5Ls95EDvGGBKtkBmr75biUbfVMk/view?usp=sharing</t>
  </si>
  <si>
    <t>Bovinae</t>
  </si>
  <si>
    <t>https://drive.google.com/file/d/11QFCgJUixn3z1LLi4dsFsFDA0N903tpI/view?usp=sharing</t>
  </si>
  <si>
    <t>https://drive.google.com/file/d/1msaSK9ZrRdRGeWBarHwsTLHkbnDs_29x/view?usp=sharing</t>
  </si>
  <si>
    <t>Giant Panda</t>
  </si>
  <si>
    <t>Ursidae</t>
  </si>
  <si>
    <t>https://drive.google.com/file/d/10-uUab0bZy13Y-koCIc39EMdIXQopYPC/view?usp=sharing</t>
  </si>
  <si>
    <t>Ble Wildebeest</t>
  </si>
  <si>
    <t>https://drive.google.com/file/d/1T8iOp38v6qwlecs6mCIoEEVKnuM2FDbk/view?usp=sharing</t>
  </si>
  <si>
    <t>White-naped mangabey</t>
  </si>
  <si>
    <t>https://drive.google.com/file/d/10S4-pm63N_1MmnYvf172YxlIX2t_sy46/view?usp=sharing</t>
  </si>
  <si>
    <t>Cebidae</t>
  </si>
  <si>
    <t>https://drive.google.com/file/d/1Y3jnVyb73ZMZwvq_FyhpJ9H5xbJqAm45/view?usp=sharing</t>
  </si>
  <si>
    <t>Sun Parakeet</t>
  </si>
  <si>
    <t>Psittacidae</t>
  </si>
  <si>
    <t>no metaphases</t>
  </si>
  <si>
    <t>https://drive.google.com/file/d/1nb6SFvgaCHIEZ7jyTbTOwOrqt6ZU_NjT/view?usp=sharing</t>
  </si>
  <si>
    <t xml:space="preserve">SPECIE NAME </t>
  </si>
  <si>
    <t>FAMILY</t>
  </si>
  <si>
    <t>SUBFAMILY</t>
  </si>
  <si>
    <t>CITES ANNEX</t>
  </si>
  <si>
    <t>IUCN CATEGORY</t>
  </si>
  <si>
    <t>SAMPLES</t>
  </si>
  <si>
    <t>CELL LINE</t>
  </si>
  <si>
    <t>RNA</t>
  </si>
  <si>
    <t>SEQUENCING</t>
  </si>
  <si>
    <t>INFO</t>
  </si>
  <si>
    <t>Atelinae</t>
  </si>
  <si>
    <t>CRITICALLY ENDANGERED</t>
  </si>
  <si>
    <t>X</t>
  </si>
  <si>
    <t>Lemuroidea</t>
  </si>
  <si>
    <t>ENDANGERED</t>
  </si>
  <si>
    <t>Sent to Illumina</t>
  </si>
  <si>
    <t>Geoffroy’s Tufted-ear Marmoset</t>
  </si>
  <si>
    <t>Callitrichinae</t>
  </si>
  <si>
    <t>LEAST CONCERN</t>
  </si>
  <si>
    <t>DNA ready</t>
  </si>
  <si>
    <t>Nonhuman Primate Induced Pluripotent Stem Cells in Regenerative Medicine (nih.gov)</t>
  </si>
  <si>
    <t>Sent to Illumina?</t>
  </si>
  <si>
    <t>DNA (low conc.)</t>
  </si>
  <si>
    <t>Tissue/Blood</t>
  </si>
  <si>
    <t>Orangutan</t>
  </si>
  <si>
    <t>Sent to ORG1?</t>
  </si>
  <si>
    <t xml:space="preserve">Cell culture </t>
  </si>
  <si>
    <t>Black Mangabey</t>
  </si>
  <si>
    <t>VULNERABLE</t>
  </si>
  <si>
    <t>Cercopithecinae</t>
  </si>
  <si>
    <t>https://pubmed.ncbi.nlm.nih.gov/21892153/</t>
  </si>
  <si>
    <t>NEAR THREATENED</t>
  </si>
  <si>
    <t>Fibros running</t>
  </si>
  <si>
    <t>DNA running</t>
  </si>
  <si>
    <t>Western Gorilla</t>
  </si>
  <si>
    <t>PBMc</t>
  </si>
  <si>
    <t>Primate iPS cells as tools for evolutionary analyses - ScienceDirect</t>
  </si>
  <si>
    <t>https://www.mdpi.com/2073-4409/9/6/1349</t>
  </si>
  <si>
    <t>Scientific Name</t>
  </si>
  <si>
    <r>
      <rPr>
        <rFont val="Arial"/>
        <color rgb="FF222222"/>
      </rPr>
      <t>i</t>
    </r>
    <r>
      <rPr>
        <rFont val="Arial"/>
        <color rgb="FF222222"/>
        <sz val="10.0"/>
      </rPr>
      <t>ncrementar el tiempo de colcemid a 5 o 6 horas porque el crecimiento de las células es quizás más lento</t>
    </r>
  </si>
  <si>
    <t>Unpubliseh</t>
  </si>
  <si>
    <t>Barbary sheep</t>
  </si>
  <si>
    <t>rep</t>
  </si>
  <si>
    <t>Pinguino</t>
  </si>
  <si>
    <t xml:space="preserve">Bird </t>
  </si>
  <si>
    <t>Cigueña</t>
  </si>
  <si>
    <t xml:space="preserve">Cabra </t>
  </si>
  <si>
    <t>Wallaby</t>
  </si>
  <si>
    <t>León marino</t>
  </si>
  <si>
    <t>p2</t>
  </si>
  <si>
    <t>León</t>
  </si>
  <si>
    <t xml:space="preserve">Ready </t>
  </si>
  <si>
    <t>DATE/TECHNICIAN</t>
  </si>
  <si>
    <t>LIBRARIES</t>
  </si>
  <si>
    <r>
      <rPr>
        <rFont val="Calibri"/>
        <color theme="1"/>
        <sz val="11.0"/>
      </rPr>
      <t xml:space="preserve">fibros </t>
    </r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 xml:space="preserve"> (4 vials)</t>
    </r>
  </si>
  <si>
    <r>
      <rPr>
        <rFont val="Calibri"/>
        <b/>
        <color theme="1"/>
        <sz val="11.0"/>
      </rPr>
      <t>P2</t>
    </r>
    <r>
      <rPr>
        <rFont val="Calibri"/>
        <color theme="1"/>
        <sz val="11.0"/>
      </rPr>
      <t xml:space="preserve"> (3 vials)</t>
    </r>
  </si>
  <si>
    <r>
      <rPr>
        <rFont val="Calibri"/>
        <b/>
        <color theme="1"/>
        <sz val="11.0"/>
      </rPr>
      <t>P3</t>
    </r>
    <r>
      <rPr>
        <rFont val="Calibri"/>
        <color theme="1"/>
        <sz val="11.0"/>
      </rPr>
      <t xml:space="preserve"> (4 vials)</t>
    </r>
  </si>
  <si>
    <r>
      <rPr>
        <rFont val="Calibri"/>
        <b/>
        <color theme="1"/>
        <sz val="11.0"/>
      </rPr>
      <t>P4</t>
    </r>
    <r>
      <rPr>
        <rFont val="Calibri"/>
        <color theme="1"/>
        <sz val="11.0"/>
      </rPr>
      <t xml:space="preserve"> (5)</t>
    </r>
  </si>
  <si>
    <r>
      <rPr>
        <rFont val="Calibri"/>
        <b/>
        <color theme="1"/>
        <sz val="11.0"/>
      </rPr>
      <t xml:space="preserve"> P1</t>
    </r>
    <r>
      <rPr>
        <rFont val="Calibri"/>
        <color theme="1"/>
        <sz val="11.0"/>
      </rPr>
      <t>(2 vials)</t>
    </r>
  </si>
  <si>
    <r>
      <rPr>
        <rFont val="Calibri"/>
        <b/>
        <color theme="1"/>
        <sz val="11.0"/>
      </rPr>
      <t>P2</t>
    </r>
    <r>
      <rPr>
        <rFont val="Calibri"/>
        <color theme="1"/>
        <sz val="11.0"/>
      </rPr>
      <t>(2 vials)</t>
    </r>
  </si>
  <si>
    <r>
      <rPr>
        <rFont val="Calibri"/>
        <b/>
        <color theme="1"/>
        <sz val="11.0"/>
      </rPr>
      <t>P3</t>
    </r>
    <r>
      <rPr>
        <rFont val="Calibri"/>
        <color theme="1"/>
        <sz val="11.0"/>
      </rPr>
      <t>(3 vials)</t>
    </r>
  </si>
  <si>
    <r>
      <rPr>
        <rFont val="Calibri"/>
        <color theme="1"/>
        <sz val="11.0"/>
      </rPr>
      <t xml:space="preserve">Fibros </t>
    </r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 xml:space="preserve"> (2vials)</t>
    </r>
  </si>
  <si>
    <r>
      <rPr>
        <rFont val="Calibri"/>
        <b/>
        <color theme="1"/>
        <sz val="11.0"/>
      </rPr>
      <t xml:space="preserve">  P2</t>
    </r>
    <r>
      <rPr>
        <rFont val="Calibri"/>
        <color theme="1"/>
        <sz val="11.0"/>
      </rPr>
      <t>(3 vials)</t>
    </r>
  </si>
  <si>
    <r>
      <rPr>
        <rFont val="Calibri"/>
        <b/>
        <color theme="1"/>
        <sz val="11.0"/>
      </rPr>
      <t>P3</t>
    </r>
    <r>
      <rPr>
        <rFont val="Calibri"/>
        <color theme="1"/>
        <sz val="11.0"/>
      </rPr>
      <t>(1 vial)</t>
    </r>
  </si>
  <si>
    <r>
      <rPr>
        <rFont val="Calibri"/>
        <b/>
        <color theme="1"/>
        <sz val="11.0"/>
      </rPr>
      <t>P2</t>
    </r>
    <r>
      <rPr>
        <rFont val="Calibri"/>
        <color theme="1"/>
        <sz val="11.0"/>
      </rPr>
      <t>(2 vials)</t>
    </r>
  </si>
  <si>
    <r>
      <rPr>
        <rFont val="Calibri"/>
        <b/>
        <color theme="1"/>
        <sz val="11.0"/>
      </rPr>
      <t>P3</t>
    </r>
    <r>
      <rPr>
        <rFont val="Calibri"/>
        <color theme="1"/>
        <sz val="11.0"/>
      </rPr>
      <t>(2 vials)</t>
    </r>
  </si>
  <si>
    <t>Gnu</t>
  </si>
  <si>
    <r>
      <rPr>
        <rFont val="Calibri"/>
        <color theme="1"/>
        <sz val="11.0"/>
      </rPr>
      <t xml:space="preserve">Fibros </t>
    </r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 xml:space="preserve"> (2vials)</t>
    </r>
  </si>
  <si>
    <r>
      <rPr>
        <rFont val="Calibri"/>
        <b/>
        <color theme="1"/>
        <sz val="11.0"/>
      </rPr>
      <t xml:space="preserve">      P2</t>
    </r>
    <r>
      <rPr>
        <rFont val="Calibri"/>
        <color theme="1"/>
        <sz val="11.0"/>
      </rPr>
      <t>(3 vials)</t>
    </r>
  </si>
  <si>
    <r>
      <rPr>
        <rFont val="Calibri"/>
        <b/>
        <color theme="1"/>
        <sz val="11.0"/>
      </rPr>
      <t xml:space="preserve">     P3</t>
    </r>
    <r>
      <rPr>
        <rFont val="Calibri"/>
        <color theme="1"/>
        <sz val="11.0"/>
      </rPr>
      <t>(4vials)</t>
    </r>
  </si>
  <si>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>(4vials)</t>
    </r>
  </si>
  <si>
    <r>
      <rPr>
        <rFont val="Calibri"/>
        <b/>
        <color theme="1"/>
        <sz val="11.0"/>
      </rPr>
      <t>P2</t>
    </r>
    <r>
      <rPr>
        <rFont val="Calibri"/>
        <color theme="1"/>
        <sz val="11.0"/>
      </rPr>
      <t>(4vials)</t>
    </r>
  </si>
  <si>
    <r>
      <rPr>
        <rFont val="Calibri"/>
        <b/>
        <color theme="1"/>
        <sz val="11.0"/>
      </rPr>
      <t>P4</t>
    </r>
    <r>
      <rPr>
        <rFont val="Calibri"/>
        <color theme="1"/>
        <sz val="11.0"/>
      </rPr>
      <t>(6vials)</t>
    </r>
  </si>
  <si>
    <r>
      <rPr>
        <rFont val="Calibri"/>
        <b/>
        <color theme="1"/>
        <sz val="11.0"/>
      </rPr>
      <t>P2</t>
    </r>
    <r>
      <rPr>
        <rFont val="Calibri"/>
        <color theme="1"/>
        <sz val="11.0"/>
      </rPr>
      <t xml:space="preserve"> (4vials)</t>
    </r>
  </si>
  <si>
    <r>
      <rPr>
        <rFont val="Calibri"/>
        <color theme="1"/>
        <sz val="11.0"/>
      </rPr>
      <t xml:space="preserve">   </t>
    </r>
    <r>
      <rPr>
        <rFont val="Calibri"/>
        <b/>
        <color theme="1"/>
        <sz val="11.0"/>
      </rPr>
      <t>P2</t>
    </r>
    <r>
      <rPr>
        <rFont val="Calibri"/>
        <color theme="1"/>
        <sz val="11.0"/>
      </rPr>
      <t xml:space="preserve"> (2vials)</t>
    </r>
  </si>
  <si>
    <r>
      <rPr>
        <rFont val="Calibri"/>
        <b/>
        <color theme="1"/>
        <sz val="11.0"/>
      </rPr>
      <t xml:space="preserve"> P3</t>
    </r>
    <r>
      <rPr>
        <rFont val="Calibri"/>
        <color theme="1"/>
        <sz val="11.0"/>
      </rPr>
      <t>(1vial)</t>
    </r>
  </si>
  <si>
    <r>
      <rPr>
        <rFont val="Calibri"/>
        <b/>
        <color theme="1"/>
        <sz val="11.0"/>
      </rPr>
      <t>P0</t>
    </r>
    <r>
      <rPr>
        <rFont val="Calibri"/>
        <color theme="1"/>
        <sz val="11.0"/>
      </rPr>
      <t xml:space="preserve"> (3 vials)</t>
    </r>
  </si>
  <si>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 xml:space="preserve"> (4 vials)</t>
    </r>
  </si>
  <si>
    <r>
      <rPr>
        <rFont val="Calibri"/>
        <b/>
        <color theme="1"/>
        <sz val="11.0"/>
      </rPr>
      <t>P2</t>
    </r>
    <r>
      <rPr>
        <rFont val="Calibri"/>
        <color theme="1"/>
        <sz val="11.0"/>
      </rPr>
      <t xml:space="preserve"> (9 vials)</t>
    </r>
  </si>
  <si>
    <r>
      <rPr>
        <rFont val="Calibri"/>
        <b/>
        <color theme="1"/>
        <sz val="11.0"/>
      </rPr>
      <t>P3</t>
    </r>
    <r>
      <rPr>
        <rFont val="Calibri"/>
        <color theme="1"/>
        <sz val="11.0"/>
      </rPr>
      <t xml:space="preserve"> (1vial)</t>
    </r>
  </si>
  <si>
    <r>
      <rPr>
        <rFont val="Calibri"/>
        <b/>
        <color theme="1"/>
        <sz val="11.0"/>
      </rPr>
      <t xml:space="preserve">P0 </t>
    </r>
    <r>
      <rPr>
        <rFont val="Calibri"/>
        <color theme="1"/>
        <sz val="11.0"/>
      </rPr>
      <t xml:space="preserve"> (1 vial)</t>
    </r>
  </si>
  <si>
    <r>
      <rPr>
        <rFont val="Calibri"/>
        <color theme="1"/>
        <sz val="11.0"/>
      </rPr>
      <t xml:space="preserve">               </t>
    </r>
    <r>
      <rPr>
        <rFont val="Calibri"/>
        <b/>
        <color theme="1"/>
        <sz val="11.0"/>
      </rPr>
      <t xml:space="preserve">P1 </t>
    </r>
    <r>
      <rPr>
        <rFont val="Calibri"/>
        <color theme="1"/>
        <sz val="11.0"/>
      </rPr>
      <t xml:space="preserve"> (1 vial)</t>
    </r>
  </si>
  <si>
    <r>
      <rPr>
        <rFont val="Calibri"/>
        <color theme="1"/>
        <sz val="11.0"/>
      </rPr>
      <t xml:space="preserve">               </t>
    </r>
    <r>
      <rPr>
        <rFont val="Calibri"/>
        <b/>
        <color theme="1"/>
        <sz val="11.0"/>
      </rPr>
      <t xml:space="preserve">P2 </t>
    </r>
    <r>
      <rPr>
        <rFont val="Calibri"/>
        <color theme="1"/>
        <sz val="11.0"/>
      </rPr>
      <t>(8vials)</t>
    </r>
  </si>
  <si>
    <r>
      <rPr>
        <rFont val="Calibri"/>
        <b/>
        <color theme="1"/>
        <sz val="11.0"/>
      </rPr>
      <t>P0</t>
    </r>
    <r>
      <rPr>
        <rFont val="Calibri"/>
        <color theme="1"/>
        <sz val="11.0"/>
      </rPr>
      <t xml:space="preserve"> (1 vial)</t>
    </r>
  </si>
  <si>
    <r>
      <rPr>
        <rFont val="Calibri"/>
        <color theme="1"/>
        <sz val="11.0"/>
      </rPr>
      <t xml:space="preserve">               </t>
    </r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 xml:space="preserve"> (1 vial)</t>
    </r>
  </si>
  <si>
    <r>
      <rPr>
        <rFont val="Calibri"/>
        <b/>
        <color theme="1"/>
        <sz val="11.0"/>
      </rPr>
      <t xml:space="preserve">P2 </t>
    </r>
    <r>
      <rPr>
        <rFont val="Calibri"/>
        <color theme="1"/>
        <sz val="11.0"/>
      </rPr>
      <t>(vials)</t>
    </r>
  </si>
  <si>
    <r>
      <rPr>
        <rFont val="Calibri"/>
        <b/>
        <color theme="1"/>
        <sz val="11.0"/>
      </rPr>
      <t>P0</t>
    </r>
    <r>
      <rPr>
        <rFont val="Calibri"/>
        <color theme="1"/>
        <sz val="11.0"/>
      </rPr>
      <t xml:space="preserve"> (1 vial)</t>
    </r>
  </si>
  <si>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 xml:space="preserve"> (5 vial)</t>
    </r>
  </si>
  <si>
    <r>
      <rPr>
        <rFont val="Calibri"/>
        <color theme="1"/>
        <sz val="11.0"/>
      </rPr>
      <t xml:space="preserve">  </t>
    </r>
    <r>
      <rPr>
        <rFont val="Calibri"/>
        <b/>
        <color theme="1"/>
        <sz val="11.0"/>
      </rPr>
      <t>P3</t>
    </r>
    <r>
      <rPr>
        <rFont val="Calibri"/>
        <color theme="1"/>
        <sz val="11.0"/>
      </rPr>
      <t xml:space="preserve"> (4vial)</t>
    </r>
  </si>
  <si>
    <r>
      <rPr>
        <rFont val="Calibri"/>
        <b/>
        <color theme="1"/>
        <sz val="11.0"/>
      </rPr>
      <t>P0</t>
    </r>
    <r>
      <rPr>
        <rFont val="Calibri"/>
        <color theme="1"/>
        <sz val="11.0"/>
      </rPr>
      <t xml:space="preserve"> (2 vial)</t>
    </r>
  </si>
  <si>
    <r>
      <rPr>
        <rFont val="Calibri"/>
        <b/>
        <color theme="1"/>
        <sz val="11.0"/>
      </rPr>
      <t xml:space="preserve">    P1</t>
    </r>
    <r>
      <rPr>
        <rFont val="Calibri"/>
        <color theme="1"/>
        <sz val="11.0"/>
      </rPr>
      <t xml:space="preserve"> (6 vials)</t>
    </r>
  </si>
  <si>
    <r>
      <rPr>
        <rFont val="Calibri"/>
        <b/>
        <color theme="1"/>
        <sz val="11.0"/>
      </rPr>
      <t xml:space="preserve">  P2</t>
    </r>
    <r>
      <rPr>
        <rFont val="Calibri"/>
        <color theme="1"/>
        <sz val="11.0"/>
      </rPr>
      <t>(4vials)</t>
    </r>
  </si>
  <si>
    <r>
      <rPr>
        <rFont val="Calibri"/>
        <b/>
        <color theme="1"/>
        <sz val="11.0"/>
      </rPr>
      <t xml:space="preserve">   P3</t>
    </r>
    <r>
      <rPr>
        <rFont val="Calibri"/>
        <color theme="1"/>
        <sz val="11.0"/>
      </rPr>
      <t>(2 vials)</t>
    </r>
  </si>
  <si>
    <r>
      <rPr>
        <rFont val="Calibri"/>
        <b/>
        <color theme="1"/>
        <sz val="11.0"/>
      </rPr>
      <t xml:space="preserve">  P4</t>
    </r>
    <r>
      <rPr>
        <rFont val="Calibri"/>
        <color theme="1"/>
        <sz val="11.0"/>
      </rPr>
      <t>(2vials)</t>
    </r>
  </si>
  <si>
    <r>
      <rPr>
        <rFont val="Calibri"/>
        <b/>
        <color theme="1"/>
        <sz val="11.0"/>
      </rPr>
      <t>P0</t>
    </r>
    <r>
      <rPr>
        <rFont val="Calibri"/>
        <color theme="1"/>
        <sz val="11.0"/>
      </rPr>
      <t xml:space="preserve"> (4 vials)</t>
    </r>
  </si>
  <si>
    <r>
      <rPr>
        <rFont val="Calibri"/>
        <b/>
        <color theme="1"/>
        <sz val="11.0"/>
      </rPr>
      <t xml:space="preserve">            P1</t>
    </r>
    <r>
      <rPr>
        <rFont val="Calibri"/>
        <color theme="1"/>
        <sz val="11.0"/>
      </rPr>
      <t>(4vials)</t>
    </r>
  </si>
  <si>
    <r>
      <rPr>
        <rFont val="Calibri"/>
        <b/>
        <color theme="1"/>
        <sz val="11.0"/>
      </rPr>
      <t>P2</t>
    </r>
    <r>
      <rPr>
        <rFont val="Calibri"/>
        <color theme="1"/>
        <sz val="11.0"/>
      </rPr>
      <t>(4vials)</t>
    </r>
  </si>
  <si>
    <r>
      <rPr>
        <rFont val="Calibri"/>
        <b/>
        <color theme="1"/>
        <sz val="11.0"/>
      </rPr>
      <t>P3</t>
    </r>
    <r>
      <rPr>
        <rFont val="Calibri"/>
        <color theme="1"/>
        <sz val="11.0"/>
      </rPr>
      <t>(2vials)</t>
    </r>
  </si>
  <si>
    <r>
      <rPr>
        <rFont val="Calibri"/>
        <b/>
        <color theme="1"/>
        <sz val="11.0"/>
      </rPr>
      <t xml:space="preserve">            P1</t>
    </r>
    <r>
      <rPr>
        <rFont val="Calibri"/>
        <color theme="1"/>
        <sz val="11.0"/>
      </rPr>
      <t>(6 vials)</t>
    </r>
  </si>
  <si>
    <r>
      <rPr>
        <rFont val="Calibri"/>
        <b/>
        <color theme="1"/>
        <sz val="11.0"/>
      </rPr>
      <t>P2</t>
    </r>
    <r>
      <rPr>
        <rFont val="Calibri"/>
        <color theme="1"/>
        <sz val="11.0"/>
      </rPr>
      <t>(8vials)</t>
    </r>
  </si>
  <si>
    <r>
      <rPr>
        <rFont val="Calibri"/>
        <b/>
        <color theme="1"/>
        <sz val="11.0"/>
      </rPr>
      <t xml:space="preserve">  P3</t>
    </r>
    <r>
      <rPr>
        <rFont val="Calibri"/>
        <color theme="1"/>
        <sz val="11.0"/>
      </rPr>
      <t>(10vials)</t>
    </r>
  </si>
  <si>
    <r>
      <rPr>
        <rFont val="Calibri"/>
        <b/>
        <color theme="1"/>
        <sz val="11.0"/>
      </rPr>
      <t>P4</t>
    </r>
    <r>
      <rPr>
        <rFont val="Calibri"/>
        <color theme="1"/>
        <sz val="11.0"/>
      </rPr>
      <t xml:space="preserve"> (4vials)</t>
    </r>
  </si>
  <si>
    <r>
      <rPr>
        <rFont val="Calibri"/>
        <b/>
        <color theme="1"/>
        <sz val="11.0"/>
      </rPr>
      <t>Biopsia</t>
    </r>
    <r>
      <rPr>
        <rFont val="Calibri"/>
        <color theme="1"/>
        <sz val="11.0"/>
      </rPr>
      <t xml:space="preserve"> (4vials)</t>
    </r>
  </si>
  <si>
    <r>
      <rPr>
        <rFont val="Calibri"/>
        <b/>
        <color theme="1"/>
        <sz val="11.0"/>
      </rPr>
      <t xml:space="preserve">        P2</t>
    </r>
    <r>
      <rPr>
        <rFont val="Calibri"/>
        <color theme="1"/>
        <sz val="11.0"/>
      </rPr>
      <t xml:space="preserve"> (6 vials)</t>
    </r>
  </si>
  <si>
    <r>
      <rPr>
        <rFont val="Calibri"/>
        <b/>
        <color theme="1"/>
        <sz val="11.0"/>
      </rPr>
      <t xml:space="preserve">        P3</t>
    </r>
    <r>
      <rPr>
        <rFont val="Calibri"/>
        <color theme="1"/>
        <sz val="11.0"/>
      </rPr>
      <t xml:space="preserve"> (6 vials)</t>
    </r>
  </si>
  <si>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 xml:space="preserve"> (4 vials)</t>
    </r>
  </si>
  <si>
    <r>
      <rPr>
        <rFont val="Calibri"/>
        <b/>
        <color theme="1"/>
        <sz val="11.0"/>
      </rPr>
      <t xml:space="preserve">P1 </t>
    </r>
    <r>
      <rPr>
        <rFont val="Calibri"/>
        <color theme="1"/>
        <sz val="11.0"/>
      </rPr>
      <t>(1 vial)</t>
    </r>
  </si>
  <si>
    <r>
      <rPr>
        <rFont val="Arial"/>
        <b/>
        <color theme="1"/>
        <sz val="11.0"/>
      </rPr>
      <t>P2</t>
    </r>
    <r>
      <rPr>
        <rFont val="Arial"/>
        <color theme="1"/>
        <sz val="11.0"/>
      </rPr>
      <t xml:space="preserve"> (2vials)</t>
    </r>
  </si>
  <si>
    <r>
      <rPr>
        <rFont val="Arial"/>
        <b/>
        <color theme="1"/>
        <sz val="11.0"/>
      </rPr>
      <t>P3</t>
    </r>
    <r>
      <rPr>
        <rFont val="Arial"/>
        <color theme="1"/>
        <sz val="11.0"/>
      </rPr>
      <t>(2vials)</t>
    </r>
  </si>
  <si>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 xml:space="preserve"> (3 vials)</t>
    </r>
  </si>
  <si>
    <r>
      <rPr>
        <rFont val="Calibri"/>
        <b/>
        <color theme="1"/>
        <sz val="11.0"/>
      </rPr>
      <t>P2</t>
    </r>
    <r>
      <rPr>
        <rFont val="Calibri"/>
        <color theme="1"/>
        <sz val="11.0"/>
      </rPr>
      <t xml:space="preserve"> (2 vials)</t>
    </r>
  </si>
  <si>
    <r>
      <rPr>
        <rFont val="Calibri"/>
        <b/>
        <color theme="1"/>
        <sz val="11.0"/>
      </rPr>
      <t>P3</t>
    </r>
    <r>
      <rPr>
        <rFont val="Calibri"/>
        <color theme="1"/>
        <sz val="11.0"/>
      </rPr>
      <t xml:space="preserve"> (3vials)</t>
    </r>
  </si>
  <si>
    <r>
      <rPr>
        <rFont val="Calibri"/>
        <b/>
        <color theme="1"/>
        <sz val="11.0"/>
      </rPr>
      <t>P0</t>
    </r>
    <r>
      <rPr>
        <rFont val="Calibri"/>
        <color theme="1"/>
        <sz val="11.0"/>
      </rPr>
      <t xml:space="preserve"> (1 vial)</t>
    </r>
  </si>
  <si>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 xml:space="preserve"> (1vial)</t>
    </r>
  </si>
  <si>
    <r>
      <rPr>
        <rFont val="Arial"/>
        <b/>
        <color theme="1"/>
        <sz val="11.0"/>
      </rPr>
      <t>P2</t>
    </r>
    <r>
      <rPr>
        <rFont val="Arial"/>
        <color theme="1"/>
        <sz val="11.0"/>
      </rPr>
      <t xml:space="preserve"> (1 vial)</t>
    </r>
  </si>
  <si>
    <r>
      <rPr>
        <rFont val="Arial"/>
        <b/>
        <color theme="1"/>
        <sz val="11.0"/>
      </rPr>
      <t>P3</t>
    </r>
    <r>
      <rPr>
        <rFont val="Arial"/>
        <color theme="1"/>
        <sz val="11.0"/>
      </rPr>
      <t xml:space="preserve"> (2vials)</t>
    </r>
  </si>
  <si>
    <t>QGH17-04591</t>
  </si>
  <si>
    <r>
      <rPr>
        <rFont val="Calibri"/>
        <b/>
        <color theme="1"/>
        <sz val="11.0"/>
      </rPr>
      <t xml:space="preserve">P1 </t>
    </r>
    <r>
      <rPr>
        <rFont val="Calibri"/>
        <color theme="1"/>
        <sz val="11.0"/>
      </rPr>
      <t>(2vials)</t>
    </r>
  </si>
  <si>
    <r>
      <rPr>
        <rFont val="Calibri"/>
        <b/>
        <color theme="1"/>
        <sz val="11.0"/>
      </rPr>
      <t>P2</t>
    </r>
    <r>
      <rPr>
        <rFont val="Calibri"/>
        <color theme="1"/>
        <sz val="11.0"/>
      </rPr>
      <t xml:space="preserve"> (2 vials)</t>
    </r>
  </si>
  <si>
    <r>
      <rPr>
        <rFont val="Calibri"/>
        <b/>
        <color theme="1"/>
        <sz val="11.0"/>
      </rPr>
      <t>P3</t>
    </r>
    <r>
      <rPr>
        <rFont val="Calibri"/>
        <color theme="1"/>
        <sz val="11.0"/>
      </rPr>
      <t xml:space="preserve"> (3 vials)</t>
    </r>
  </si>
  <si>
    <r>
      <rPr>
        <rFont val="Arial"/>
        <b/>
        <color theme="1"/>
        <sz val="11.0"/>
      </rPr>
      <t>P1</t>
    </r>
    <r>
      <rPr>
        <rFont val="Arial"/>
        <color theme="1"/>
        <sz val="11.0"/>
      </rPr>
      <t xml:space="preserve"> (3 vials)</t>
    </r>
  </si>
  <si>
    <r>
      <rPr>
        <rFont val="Arial"/>
        <b/>
        <color theme="1"/>
        <sz val="11.0"/>
      </rPr>
      <t>P3</t>
    </r>
    <r>
      <rPr>
        <rFont val="Arial"/>
        <color theme="1"/>
        <sz val="11.0"/>
      </rPr>
      <t xml:space="preserve"> (1vial)</t>
    </r>
  </si>
  <si>
    <r>
      <rPr>
        <rFont val="Calibri"/>
        <b/>
        <color theme="1"/>
        <sz val="11.0"/>
      </rPr>
      <t>P1</t>
    </r>
    <r>
      <rPr>
        <rFont val="Calibri"/>
        <color theme="1"/>
        <sz val="11.0"/>
      </rPr>
      <t xml:space="preserve"> (2 vials) </t>
    </r>
  </si>
  <si>
    <r>
      <rPr>
        <rFont val="Calibri"/>
        <b/>
        <color theme="1"/>
      </rPr>
      <t>P2</t>
    </r>
    <r>
      <rPr>
        <rFont val="Calibri"/>
        <color theme="1"/>
      </rPr>
      <t xml:space="preserve"> (2 vials)</t>
    </r>
  </si>
  <si>
    <r>
      <rPr>
        <rFont val="Calibri"/>
        <b/>
        <color theme="1"/>
      </rPr>
      <t>P3</t>
    </r>
    <r>
      <rPr>
        <rFont val="Calibri"/>
        <color theme="1"/>
      </rPr>
      <t>(2 vials)</t>
    </r>
  </si>
  <si>
    <r>
      <rPr>
        <rFont val="Calibri"/>
        <b/>
        <color theme="1"/>
        <sz val="11.0"/>
      </rPr>
      <t xml:space="preserve">P1 </t>
    </r>
    <r>
      <rPr>
        <rFont val="Calibri"/>
        <color theme="1"/>
        <sz val="11.0"/>
      </rPr>
      <t>(1 vial)</t>
    </r>
  </si>
  <si>
    <r>
      <rPr>
        <rFont val="Calibri"/>
        <b/>
        <color theme="1"/>
        <sz val="11.0"/>
      </rPr>
      <t>P2</t>
    </r>
    <r>
      <rPr>
        <rFont val="Calibri"/>
        <color theme="1"/>
        <sz val="11.0"/>
      </rPr>
      <t xml:space="preserve"> (4 vials)</t>
    </r>
  </si>
  <si>
    <r>
      <rPr>
        <rFont val="Calibri"/>
        <b/>
        <color theme="1"/>
        <sz val="11.0"/>
      </rPr>
      <t>P3</t>
    </r>
    <r>
      <rPr>
        <rFont val="Calibri"/>
        <color theme="1"/>
        <sz val="11.0"/>
      </rPr>
      <t xml:space="preserve"> (3vials)</t>
    </r>
  </si>
  <si>
    <t xml:space="preserve">biopsia= 3 cryotubes </t>
  </si>
  <si>
    <t>MIG12-28734764</t>
  </si>
  <si>
    <r>
      <rPr>
        <rFont val="Calibri"/>
        <b/>
        <color theme="1"/>
      </rPr>
      <t>P3</t>
    </r>
    <r>
      <rPr>
        <rFont val="Calibri"/>
        <color theme="1"/>
      </rPr>
      <t xml:space="preserve"> (1 tubes)</t>
    </r>
  </si>
  <si>
    <r>
      <rPr>
        <rFont val="Calibri"/>
        <b/>
        <color theme="1"/>
      </rPr>
      <t>P2</t>
    </r>
    <r>
      <rPr>
        <rFont val="Calibri"/>
        <color theme="1"/>
      </rPr>
      <t xml:space="preserve"> (2 vials)</t>
    </r>
  </si>
  <si>
    <r>
      <rPr>
        <rFont val="Calibri"/>
        <b/>
        <color theme="1"/>
      </rPr>
      <t>P3</t>
    </r>
    <r>
      <rPr>
        <rFont val="Calibri"/>
        <color theme="1"/>
      </rPr>
      <t xml:space="preserve"> (1 tubes)</t>
    </r>
  </si>
  <si>
    <t>fibros?? teemos karyotype</t>
  </si>
  <si>
    <r>
      <rPr>
        <rFont val="Calibri"/>
        <b/>
        <color theme="1"/>
      </rPr>
      <t>P2</t>
    </r>
    <r>
      <rPr>
        <rFont val="Calibri"/>
        <color theme="1"/>
      </rPr>
      <t xml:space="preserve"> (2 vials)</t>
    </r>
  </si>
  <si>
    <r>
      <rPr>
        <rFont val="Calibri"/>
        <b/>
        <color theme="1"/>
      </rPr>
      <t xml:space="preserve">P4 </t>
    </r>
    <r>
      <rPr>
        <rFont val="Calibri"/>
        <color theme="1"/>
      </rPr>
      <t>(2 vials)</t>
    </r>
  </si>
  <si>
    <t>Fibros @ day 4</t>
  </si>
  <si>
    <t>QGH17-04483</t>
  </si>
  <si>
    <t>fibros @ day 4</t>
  </si>
  <si>
    <t>P1 (1 cryotube)</t>
  </si>
  <si>
    <t>MG12-28066788</t>
  </si>
  <si>
    <t>2 cryoutubes</t>
  </si>
  <si>
    <t>QGH21-05798</t>
  </si>
  <si>
    <t>Skin y traquea</t>
  </si>
  <si>
    <t>fibros day 4</t>
  </si>
  <si>
    <t>Dissection freeze</t>
  </si>
  <si>
    <t>flamenco</t>
  </si>
  <si>
    <t>lechuza</t>
  </si>
  <si>
    <t>QGH13-01156</t>
  </si>
  <si>
    <t>MIG12-29480708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</si>
</sst>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/m/yyyy"/>
    <numFmt numFmtId="165" formatCode="dd/mm/yy"/>
    <numFmt numFmtId="166" formatCode="d/m/yy"/>
    <numFmt numFmtId="167" formatCode="dd/mm/yyyy"/>
    <numFmt numFmtId="168" formatCode="mmm-d"/>
    <numFmt numFmtId="169" formatCode="d\.m"/>
    <numFmt numFmtId="170" formatCode="d.m"/>
    <numFmt numFmtId="171" formatCode="dd.mm"/>
    <numFmt numFmtId="172" formatCode="yyyy.m"/>
    <numFmt numFmtId="173" formatCode="#,##0.00\ [$€-1]"/>
  </numFmts>
  <fonts count="10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u/>
      <sz val="11.0"/>
      <color theme="1"/>
      <name val="Calibri"/>
    </font>
    <font>
      <color theme="1"/>
      <name val="Calibri"/>
      <scheme val="minor"/>
    </font>
    <font>
      <b/>
      <sz val="11.0"/>
      <color rgb="FF000000"/>
      <name val="Arial"/>
    </font>
    <font>
      <b/>
      <strike/>
      <sz val="11.0"/>
      <color theme="1"/>
      <name val="Calibri"/>
    </font>
    <font>
      <strike/>
      <sz val="11.0"/>
      <color theme="1"/>
      <name val="Calibri"/>
    </font>
    <font>
      <u/>
      <color rgb="FF1155CC"/>
      <name val="Calibri"/>
    </font>
    <font>
      <color theme="1"/>
      <name val="Roboto"/>
    </font>
    <font>
      <b/>
      <sz val="11.0"/>
      <color rgb="FF222222"/>
      <name val="Calibri"/>
    </font>
    <font>
      <sz val="11.0"/>
      <color rgb="FF222222"/>
      <name val="Calibri"/>
    </font>
    <font>
      <sz val="11.0"/>
      <color rgb="FF222222"/>
      <name val="Docs-Calibri"/>
    </font>
    <font>
      <b/>
      <sz val="11.0"/>
      <color rgb="FF202122"/>
      <name val="Calibri"/>
    </font>
    <font>
      <sz val="11.0"/>
      <color rgb="FF4D5156"/>
      <name val="Calibri"/>
    </font>
    <font>
      <b/>
      <sz val="11.0"/>
      <color rgb="FFFF0000"/>
      <name val="Calibri"/>
    </font>
    <font>
      <b/>
      <sz val="11.0"/>
      <color rgb="FF1155CC"/>
      <name val="Calibri"/>
    </font>
    <font>
      <b/>
      <strike/>
      <color rgb="FF202122"/>
      <name val="Arial"/>
    </font>
    <font>
      <sz val="9.0"/>
      <color theme="1"/>
      <name val="Sans-serif"/>
    </font>
    <font>
      <color theme="1"/>
      <name val="Calibri"/>
    </font>
    <font>
      <sz val="9.0"/>
      <color theme="1"/>
      <name val="Calibri"/>
    </font>
    <font>
      <sz val="9.0"/>
      <color theme="1"/>
      <name val="Arial"/>
    </font>
    <font>
      <sz val="11.0"/>
      <color rgb="FFFF0000"/>
      <name val="Calibri"/>
    </font>
    <font>
      <color rgb="FFFF0000"/>
      <name val="Calibri"/>
    </font>
    <font>
      <b/>
      <color theme="1"/>
      <name val="Calibri"/>
      <scheme val="minor"/>
    </font>
    <font>
      <b/>
      <sz val="10.0"/>
      <color rgb="FF222222"/>
      <name val="Arial"/>
    </font>
    <font>
      <sz val="11.0"/>
      <color rgb="FF000000"/>
      <name val="Docs-Calibri"/>
    </font>
    <font>
      <b/>
      <color theme="1"/>
      <name val="Calibri"/>
    </font>
    <font>
      <sz val="10.0"/>
      <color rgb="FF000000"/>
      <name val="Arial"/>
    </font>
    <font>
      <sz val="10.0"/>
      <color theme="1"/>
      <name val="Calibri"/>
    </font>
    <font>
      <color rgb="FF777777"/>
      <name val="Roboto"/>
    </font>
    <font>
      <color rgb="FFFF0000"/>
      <name val="Roboto"/>
    </font>
    <font>
      <b/>
      <sz val="11.0"/>
      <color rgb="FF202124"/>
      <name val="Calibri"/>
    </font>
    <font>
      <b/>
      <color rgb="FFFF0000"/>
      <name val="Calibri"/>
      <scheme val="minor"/>
    </font>
    <font>
      <color rgb="FF000000"/>
      <name val="Calibri"/>
    </font>
    <font>
      <b/>
      <sz val="11.0"/>
      <color rgb="FF8E7CC3"/>
      <name val="Calibri"/>
    </font>
    <font>
      <b/>
      <color rgb="FF000000"/>
      <name val="Calibri"/>
    </font>
    <font>
      <color rgb="FFFF0000"/>
      <name val="Calibri"/>
      <scheme val="minor"/>
    </font>
    <font>
      <color rgb="FF000000"/>
      <name val="Calibri"/>
      <scheme val="minor"/>
    </font>
    <font>
      <b/>
      <color rgb="FF0000FF"/>
      <name val="Calibri"/>
      <scheme val="minor"/>
    </font>
    <font>
      <b/>
      <sz val="11.0"/>
      <color rgb="FF0000FF"/>
      <name val="Calibri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sz val="12.0"/>
      <color theme="1"/>
      <name val="Calibri"/>
    </font>
    <font>
      <i/>
      <sz val="12.0"/>
      <color theme="1"/>
      <name val="Calibri"/>
    </font>
    <font/>
    <font>
      <i/>
      <color rgb="FF202122"/>
      <name val="Calibri"/>
    </font>
    <font>
      <i/>
      <color rgb="FF000000"/>
      <name val="Calibri"/>
    </font>
    <font>
      <color rgb="FF202122"/>
      <name val="Calibri"/>
    </font>
    <font>
      <i/>
      <sz val="10.0"/>
      <color rgb="FF000000"/>
      <name val="Calibri"/>
    </font>
    <font>
      <sz val="10.0"/>
      <color rgb="FF000000"/>
      <name val="Calibri"/>
    </font>
    <font>
      <i/>
      <sz val="10.0"/>
      <color theme="1"/>
      <name val="Calibri"/>
    </font>
    <font>
      <b/>
      <sz val="10.0"/>
      <color rgb="FFFF0000"/>
      <name val="Calibri"/>
    </font>
    <font>
      <i/>
      <sz val="10.0"/>
      <color rgb="FFFF0000"/>
      <name val="Calibri"/>
    </font>
    <font>
      <i/>
      <sz val="10.0"/>
      <color rgb="FF202122"/>
      <name val="Calibri"/>
    </font>
    <font>
      <strike/>
      <color theme="1"/>
      <name val="Calibri"/>
    </font>
    <font>
      <i/>
      <strike/>
      <sz val="10.0"/>
      <color rgb="FF000000"/>
      <name val="Calibri"/>
    </font>
    <font>
      <strike/>
      <sz val="10.0"/>
      <color rgb="FF000000"/>
      <name val="Calibri"/>
    </font>
    <font>
      <strike/>
      <sz val="10.0"/>
      <color theme="1"/>
      <name val="Calibri"/>
    </font>
    <font>
      <b/>
      <color rgb="FF073763"/>
      <name val="Calibri"/>
    </font>
    <font>
      <b/>
      <sz val="11.0"/>
      <color rgb="FF073763"/>
      <name val="Calibri"/>
    </font>
    <font>
      <b/>
      <strike/>
      <color rgb="FF073763"/>
      <name val="Calibri"/>
    </font>
    <font>
      <i/>
      <strike/>
      <sz val="10.0"/>
      <color rgb="FF202122"/>
      <name val="Calibri"/>
    </font>
    <font>
      <sz val="10.0"/>
      <color theme="1"/>
      <name val="Roboto"/>
    </font>
    <font>
      <sz val="11.0"/>
      <color rgb="FF202122"/>
      <name val="Calibri"/>
    </font>
    <font>
      <b/>
      <color rgb="FF6AA84F"/>
      <name val="Calibri"/>
      <scheme val="minor"/>
    </font>
    <font>
      <b/>
      <color theme="9"/>
      <name val="Calibri"/>
      <scheme val="minor"/>
    </font>
    <font>
      <b/>
      <sz val="11.0"/>
      <color rgb="FF6AA84F"/>
      <name val="Calibri"/>
    </font>
    <font>
      <b/>
      <sz val="11.0"/>
      <color rgb="FF93C47D"/>
      <name val="Calibri"/>
    </font>
    <font>
      <sz val="11.0"/>
      <color rgb="FFFF0000"/>
      <name val="Arial"/>
    </font>
    <font>
      <b/>
      <u/>
      <sz val="11.0"/>
      <color rgb="FF0000FF"/>
      <name val="Arial"/>
    </font>
    <font>
      <i/>
      <sz val="11.0"/>
      <color rgb="FF000000"/>
      <name val="Calibri"/>
    </font>
    <font>
      <i/>
      <color theme="1"/>
      <name val="Calibri"/>
    </font>
    <font>
      <u/>
      <color rgb="FF0000FF"/>
    </font>
    <font>
      <color rgb="FF222222"/>
      <name val="Arial"/>
    </font>
    <font>
      <color rgb="FF222222"/>
      <name val="Book Antiqua"/>
    </font>
    <font>
      <i/>
      <sz val="11.0"/>
      <color theme="1"/>
      <name val="Calibri"/>
    </font>
    <font>
      <u/>
      <color rgb="FF0563C1"/>
    </font>
    <font>
      <u/>
      <sz val="11.0"/>
      <color rgb="FF0000FF"/>
      <name val="Calibri"/>
    </font>
    <font>
      <i/>
      <sz val="11.0"/>
      <color rgb="FF222222"/>
      <name val="Calibri"/>
    </font>
    <font>
      <sz val="11.0"/>
      <color rgb="FF202124"/>
      <name val="Calibri"/>
    </font>
    <font>
      <u/>
      <color rgb="FF0563C1"/>
    </font>
    <font>
      <u/>
      <color rgb="FF0000FF"/>
    </font>
    <font>
      <i/>
      <sz val="11.0"/>
      <color rgb="FF202122"/>
      <name val="Calibri"/>
    </font>
    <font>
      <sz val="11.0"/>
      <color rgb="FF000000"/>
      <name val="Arial"/>
    </font>
    <font>
      <u/>
      <color rgb="FF0000FF"/>
    </font>
    <font>
      <b/>
      <sz val="10.0"/>
      <color theme="1"/>
      <name val="Calibri"/>
    </font>
    <font>
      <u/>
      <color rgb="FF0000FF"/>
    </font>
    <font>
      <i/>
      <sz val="11.0"/>
      <color rgb="FF202122"/>
      <name val="Arial"/>
    </font>
    <font>
      <b/>
      <u/>
      <sz val="11.0"/>
      <color theme="1"/>
      <name val="Calibri"/>
    </font>
    <font>
      <sz val="11.0"/>
      <color rgb="FF9900FF"/>
      <name val="Calibri"/>
    </font>
    <font>
      <sz val="11.0"/>
      <color rgb="FF222222"/>
      <name val="Roboto"/>
    </font>
    <font>
      <sz val="10.0"/>
      <color rgb="FF222222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>
      <strike/>
      <sz val="11.0"/>
      <color theme="1"/>
      <name val="Arial"/>
    </font>
    <font>
      <b/>
      <strike/>
      <color theme="1"/>
      <name val="Calibri"/>
    </font>
    <font>
      <b/>
      <strike/>
      <sz val="10.0"/>
      <color rgb="FF202122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AF9F8"/>
        <bgColor rgb="FFFAF9F8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92D050"/>
        <bgColor rgb="FF92D050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E5AFE6"/>
        <bgColor rgb="FFE5AFE6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E60404"/>
        <bgColor rgb="FFE60404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/>
      <top/>
    </border>
    <border>
      <left/>
      <right/>
    </border>
    <border>
      <left/>
      <right/>
      <top style="thin">
        <color rgb="FF000000"/>
      </top>
    </border>
    <border>
      <left/>
      <right/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7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0"/>
    </xf>
    <xf borderId="0" fillId="4" fontId="1" numFmtId="0" xfId="0" applyAlignment="1" applyFill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3" fontId="1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0" fontId="2" numFmtId="0" xfId="0" applyAlignment="1" applyFont="1">
      <alignment horizontal="center" shrinkToFit="0" wrapText="1"/>
    </xf>
    <xf borderId="0" fillId="0" fontId="7" numFmtId="0" xfId="0" applyAlignment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0" fillId="6" fontId="1" numFmtId="0" xfId="0" applyAlignment="1" applyFill="1" applyFon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5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3" fontId="8" numFmtId="0" xfId="0" applyAlignment="1" applyFont="1">
      <alignment horizontal="center" vertical="bottom"/>
    </xf>
    <xf borderId="0" fillId="0" fontId="8" numFmtId="165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5" fontId="8" numFmtId="0" xfId="0" applyAlignment="1" applyFont="1">
      <alignment horizontal="center" vertical="bottom"/>
    </xf>
    <xf borderId="1" fillId="5" fontId="8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vertical="bottom"/>
    </xf>
    <xf borderId="0" fillId="0" fontId="1" numFmtId="0" xfId="0" applyAlignment="1" applyFont="1">
      <alignment horizontal="center" shrinkToFit="0" vertical="bottom" wrapText="0"/>
    </xf>
    <xf borderId="0" fillId="5" fontId="2" numFmtId="0" xfId="0" applyAlignment="1" applyFon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0" fontId="8" numFmtId="166" xfId="0" applyAlignment="1" applyFont="1" applyNumberFormat="1">
      <alignment horizontal="center" vertical="bottom"/>
    </xf>
    <xf borderId="1" fillId="0" fontId="10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4" fontId="2" numFmtId="165" xfId="0" applyAlignment="1" applyFont="1" applyNumberFormat="1">
      <alignment horizontal="center" vertical="bottom"/>
    </xf>
    <xf borderId="0" fillId="7" fontId="12" numFmtId="0" xfId="0" applyAlignment="1" applyFill="1" applyFont="1">
      <alignment horizontal="center" vertical="bottom"/>
    </xf>
    <xf borderId="0" fillId="8" fontId="8" numFmtId="0" xfId="0" applyAlignment="1" applyFill="1" applyFont="1">
      <alignment horizontal="center" vertical="bottom"/>
    </xf>
    <xf borderId="0" fillId="8" fontId="8" numFmtId="165" xfId="0" applyAlignment="1" applyFont="1" applyNumberFormat="1">
      <alignment horizontal="center" vertical="bottom"/>
    </xf>
    <xf borderId="0" fillId="8" fontId="9" numFmtId="0" xfId="0" applyAlignment="1" applyFont="1">
      <alignment horizontal="center" vertical="bottom"/>
    </xf>
    <xf borderId="0" fillId="8" fontId="1" numFmtId="0" xfId="0" applyAlignment="1" applyFont="1">
      <alignment horizontal="center" vertical="bottom"/>
    </xf>
    <xf borderId="0" fillId="7" fontId="13" numFmtId="0" xfId="0" applyAlignment="1" applyFont="1">
      <alignment horizontal="center" vertical="bottom"/>
    </xf>
    <xf borderId="0" fillId="7" fontId="14" numFmtId="0" xfId="0" applyAlignment="1" applyFont="1">
      <alignment horizontal="center" vertical="bottom"/>
    </xf>
    <xf borderId="0" fillId="7" fontId="15" numFmtId="0" xfId="0" applyAlignment="1" applyFont="1">
      <alignment horizontal="center" vertical="bottom"/>
    </xf>
    <xf borderId="1" fillId="4" fontId="1" numFmtId="0" xfId="0" applyAlignment="1" applyBorder="1" applyFont="1">
      <alignment horizontal="center" shrinkToFit="0" vertical="bottom" wrapText="0"/>
    </xf>
    <xf borderId="0" fillId="7" fontId="16" numFmtId="0" xfId="0" applyAlignment="1" applyFont="1">
      <alignment horizontal="center" vertical="bottom"/>
    </xf>
    <xf borderId="0" fillId="7" fontId="17" numFmtId="0" xfId="0" applyAlignment="1" applyFont="1">
      <alignment horizontal="center" vertical="bottom"/>
    </xf>
    <xf borderId="0" fillId="7" fontId="18" numFmtId="0" xfId="0" applyAlignment="1" applyFont="1">
      <alignment horizontal="center" vertical="bottom"/>
    </xf>
    <xf borderId="0" fillId="0" fontId="18" numFmtId="0" xfId="0" applyAlignment="1" applyFont="1">
      <alignment horizontal="center" readingOrder="0" vertical="bottom"/>
    </xf>
    <xf borderId="0" fillId="0" fontId="18" numFmtId="0" xfId="0" applyAlignment="1" applyFont="1">
      <alignment horizontal="center" readingOrder="0" vertical="bottom"/>
    </xf>
    <xf borderId="0" fillId="0" fontId="6" numFmtId="0" xfId="0" applyAlignment="1" applyFont="1">
      <alignment readingOrder="0"/>
    </xf>
    <xf borderId="0" fillId="6" fontId="2" numFmtId="0" xfId="0" applyAlignment="1" applyFont="1">
      <alignment horizontal="center" vertical="bottom"/>
    </xf>
    <xf borderId="0" fillId="7" fontId="19" numFmtId="0" xfId="0" applyAlignment="1" applyFont="1">
      <alignment horizontal="center" vertical="bottom"/>
    </xf>
    <xf borderId="0" fillId="7" fontId="20" numFmtId="0" xfId="0" applyAlignment="1" applyFont="1">
      <alignment horizontal="center" vertical="bottom"/>
    </xf>
    <xf borderId="0" fillId="0" fontId="21" numFmtId="0" xfId="0" applyAlignment="1" applyFont="1">
      <alignment horizontal="center" vertical="bottom"/>
    </xf>
    <xf borderId="0" fillId="4" fontId="2" numFmtId="0" xfId="0" applyAlignment="1" applyFont="1">
      <alignment horizontal="center" readingOrder="0" vertical="bottom"/>
    </xf>
    <xf borderId="0" fillId="7" fontId="2" numFmtId="0" xfId="0" applyAlignment="1" applyFont="1">
      <alignment horizontal="center" vertical="bottom"/>
    </xf>
    <xf borderId="0" fillId="7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22" numFmtId="0" xfId="0" applyAlignment="1" applyFont="1">
      <alignment horizontal="center" vertical="bottom"/>
    </xf>
    <xf borderId="0" fillId="0" fontId="23" numFmtId="0" xfId="0" applyAlignment="1" applyFont="1">
      <alignment horizontal="center" vertical="bottom"/>
    </xf>
    <xf borderId="1" fillId="0" fontId="1" numFmtId="166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3" numFmtId="0" xfId="0" applyAlignment="1" applyFont="1">
      <alignment horizontal="center" vertical="bottom"/>
    </xf>
    <xf borderId="0" fillId="0" fontId="2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shrinkToFit="0" vertical="bottom" wrapText="0"/>
    </xf>
    <xf borderId="0" fillId="0" fontId="24" numFmtId="0" xfId="0" applyAlignment="1" applyFont="1">
      <alignment horizontal="center" readingOrder="0" vertical="bottom"/>
    </xf>
    <xf borderId="0" fillId="5" fontId="17" numFmtId="0" xfId="0" applyAlignment="1" applyFont="1">
      <alignment horizontal="center" vertical="bottom"/>
    </xf>
    <xf borderId="0" fillId="0" fontId="17" numFmtId="166" xfId="0" applyAlignment="1" applyFont="1" applyNumberForma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4" numFmtId="0" xfId="0" applyAlignment="1" applyFont="1">
      <alignment horizontal="center" vertical="bottom"/>
    </xf>
    <xf borderId="0" fillId="0" fontId="24" numFmtId="0" xfId="0" applyAlignment="1" applyFont="1">
      <alignment horizontal="center" vertical="bottom"/>
    </xf>
    <xf borderId="1" fillId="0" fontId="24" numFmtId="0" xfId="0" applyAlignment="1" applyBorder="1" applyFont="1">
      <alignment horizontal="center" vertical="bottom"/>
    </xf>
    <xf borderId="0" fillId="0" fontId="25" numFmtId="0" xfId="0" applyAlignment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7" numFmtId="165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vertical="bottom"/>
    </xf>
    <xf borderId="0" fillId="0" fontId="2" numFmtId="165" xfId="0" applyAlignment="1" applyFont="1" applyNumberFormat="1">
      <alignment horizontal="center" readingOrder="0" vertical="bottom"/>
    </xf>
    <xf borderId="0" fillId="0" fontId="2" numFmtId="167" xfId="0" applyAlignment="1" applyFont="1" applyNumberFormat="1">
      <alignment horizontal="center" readingOrder="0" vertical="bottom"/>
    </xf>
    <xf borderId="0" fillId="0" fontId="26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bottom" wrapText="1"/>
    </xf>
    <xf borderId="0" fillId="5" fontId="17" numFmtId="0" xfId="0" applyAlignment="1" applyFont="1">
      <alignment horizontal="center" readingOrder="0" vertical="bottom"/>
    </xf>
    <xf borderId="0" fillId="0" fontId="17" numFmtId="167" xfId="0" applyAlignment="1" applyFont="1" applyNumberFormat="1">
      <alignment horizontal="center" readingOrder="0" vertical="bottom"/>
    </xf>
    <xf borderId="0" fillId="0" fontId="17" numFmtId="0" xfId="0" applyAlignment="1" applyFont="1">
      <alignment horizontal="center" readingOrder="0" vertical="bottom"/>
    </xf>
    <xf borderId="0" fillId="5" fontId="4" numFmtId="0" xfId="0" applyAlignment="1" applyFont="1">
      <alignment horizontal="center" readingOrder="0" vertical="bottom"/>
    </xf>
    <xf borderId="0" fillId="0" fontId="4" numFmtId="165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7" fontId="27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7" fontId="28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bottom"/>
    </xf>
    <xf borderId="0" fillId="0" fontId="21" numFmtId="0" xfId="0" applyAlignment="1" applyFont="1">
      <alignment horizontal="center" readingOrder="0"/>
    </xf>
    <xf borderId="0" fillId="7" fontId="17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9" numFmtId="0" xfId="0" applyAlignment="1" applyFont="1">
      <alignment horizontal="center" readingOrder="0"/>
    </xf>
    <xf borderId="0" fillId="0" fontId="17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0" fillId="7" fontId="30" numFmtId="0" xfId="0" applyAlignment="1" applyFont="1">
      <alignment horizontal="center" readingOrder="0"/>
    </xf>
    <xf borderId="0" fillId="0" fontId="31" numFmtId="0" xfId="0" applyAlignment="1" applyFont="1">
      <alignment horizontal="center" readingOrder="0"/>
    </xf>
    <xf borderId="0" fillId="7" fontId="32" numFmtId="0" xfId="0" applyAlignment="1" applyFont="1">
      <alignment readingOrder="0"/>
    </xf>
    <xf borderId="0" fillId="7" fontId="33" numFmtId="0" xfId="0" applyAlignment="1" applyFont="1">
      <alignment readingOrder="0"/>
    </xf>
    <xf borderId="0" fillId="7" fontId="34" numFmtId="0" xfId="0" applyAlignment="1" applyFont="1">
      <alignment horizontal="center" readingOrder="0"/>
    </xf>
    <xf borderId="0" fillId="0" fontId="12" numFmtId="167" xfId="0" applyAlignment="1" applyFont="1" applyNumberFormat="1">
      <alignment horizontal="center" readingOrder="0" vertical="bottom"/>
    </xf>
    <xf borderId="0" fillId="0" fontId="12" numFmtId="0" xfId="0" applyAlignment="1" applyFont="1">
      <alignment horizontal="center" readingOrder="0" vertical="bottom"/>
    </xf>
    <xf borderId="0" fillId="5" fontId="6" numFmtId="0" xfId="0" applyFont="1"/>
    <xf borderId="0" fillId="9" fontId="2" numFmtId="167" xfId="0" applyAlignment="1" applyFill="1" applyFont="1" applyNumberFormat="1">
      <alignment horizontal="center" readingOrder="0" vertical="bottom"/>
    </xf>
    <xf borderId="0" fillId="9" fontId="2" numFmtId="0" xfId="0" applyAlignment="1" applyFont="1">
      <alignment horizontal="center" readingOrder="0" vertical="bottom"/>
    </xf>
    <xf borderId="0" fillId="9" fontId="2" numFmtId="0" xfId="0" applyAlignment="1" applyFont="1">
      <alignment horizontal="center" vertical="bottom"/>
    </xf>
    <xf borderId="0" fillId="9" fontId="17" numFmtId="167" xfId="0" applyAlignment="1" applyFont="1" applyNumberFormat="1">
      <alignment horizontal="center" readingOrder="0" vertical="bottom"/>
    </xf>
    <xf borderId="0" fillId="0" fontId="35" numFmtId="0" xfId="0" applyAlignment="1" applyFont="1">
      <alignment horizontal="center" readingOrder="0"/>
    </xf>
    <xf borderId="0" fillId="7" fontId="36" numFmtId="0" xfId="0" applyAlignment="1" applyFont="1">
      <alignment horizontal="center" readingOrder="0"/>
    </xf>
    <xf borderId="0" fillId="7" fontId="3" numFmtId="0" xfId="0" applyAlignment="1" applyFont="1">
      <alignment horizontal="center" readingOrder="0"/>
    </xf>
    <xf borderId="0" fillId="0" fontId="31" numFmtId="0" xfId="0" applyAlignment="1" applyFont="1">
      <alignment horizontal="center" readingOrder="0" vertical="bottom"/>
    </xf>
    <xf borderId="0" fillId="5" fontId="2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5" fontId="37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5" fontId="8" numFmtId="0" xfId="0" applyAlignment="1" applyFont="1">
      <alignment horizontal="center" readingOrder="0" vertical="bottom"/>
    </xf>
    <xf borderId="0" fillId="0" fontId="8" numFmtId="164" xfId="0" applyAlignment="1" applyFont="1" applyNumberForma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7" fontId="38" numFmtId="0" xfId="0" applyAlignment="1" applyFont="1">
      <alignment horizontal="center" readingOrder="0"/>
    </xf>
    <xf borderId="0" fillId="0" fontId="3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6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horizontal="center" readingOrder="0"/>
    </xf>
    <xf borderId="0" fillId="0" fontId="39" numFmtId="0" xfId="0" applyAlignment="1" applyFont="1">
      <alignment readingOrder="0"/>
    </xf>
    <xf borderId="0" fillId="0" fontId="24" numFmtId="0" xfId="0" applyAlignment="1" applyFont="1">
      <alignment horizontal="left" readingOrder="0" vertical="bottom"/>
    </xf>
    <xf borderId="0" fillId="0" fontId="35" numFmtId="0" xfId="0" applyAlignment="1" applyFont="1">
      <alignment horizontal="left" readingOrder="0"/>
    </xf>
    <xf borderId="0" fillId="0" fontId="6" numFmtId="165" xfId="0" applyAlignment="1" applyFont="1" applyNumberFormat="1">
      <alignment horizontal="right" readingOrder="0"/>
    </xf>
    <xf borderId="0" fillId="0" fontId="6" numFmtId="0" xfId="0" applyAlignment="1" applyFont="1">
      <alignment horizontal="left"/>
    </xf>
    <xf borderId="0" fillId="9" fontId="35" numFmtId="0" xfId="0" applyAlignment="1" applyFont="1">
      <alignment readingOrder="0"/>
    </xf>
    <xf borderId="0" fillId="9" fontId="6" numFmtId="0" xfId="0" applyAlignment="1" applyFont="1">
      <alignment horizontal="center" readingOrder="0"/>
    </xf>
    <xf borderId="0" fillId="9" fontId="6" numFmtId="165" xfId="0" applyAlignment="1" applyFont="1" applyNumberFormat="1">
      <alignment readingOrder="0"/>
    </xf>
    <xf borderId="0" fillId="9" fontId="6" numFmtId="0" xfId="0" applyAlignment="1" applyFont="1">
      <alignment horizontal="center"/>
    </xf>
    <xf borderId="0" fillId="9" fontId="1" numFmtId="0" xfId="0" applyAlignment="1" applyFont="1">
      <alignment horizontal="center" vertical="bottom"/>
    </xf>
    <xf borderId="0" fillId="9" fontId="26" numFmtId="0" xfId="0" applyAlignment="1" applyFont="1">
      <alignment readingOrder="0"/>
    </xf>
    <xf borderId="0" fillId="9" fontId="6" numFmtId="0" xfId="0" applyFont="1"/>
    <xf borderId="0" fillId="0" fontId="39" numFmtId="0" xfId="0" applyAlignment="1" applyFont="1">
      <alignment horizontal="center" readingOrder="0"/>
    </xf>
    <xf borderId="0" fillId="0" fontId="6" numFmtId="167" xfId="0" applyAlignment="1" applyFont="1" applyNumberFormat="1">
      <alignment readingOrder="0"/>
    </xf>
    <xf borderId="0" fillId="0" fontId="6" numFmtId="167" xfId="0" applyAlignment="1" applyFont="1" applyNumberFormat="1">
      <alignment horizontal="center" readingOrder="0"/>
    </xf>
    <xf borderId="0" fillId="5" fontId="17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0" fillId="0" fontId="17" numFmtId="167" xfId="0" applyAlignment="1" applyFont="1" applyNumberFormat="1">
      <alignment horizontal="center" readingOrder="0" vertical="center"/>
    </xf>
    <xf borderId="0" fillId="0" fontId="35" numFmtId="0" xfId="0" applyAlignment="1" applyFont="1">
      <alignment horizontal="center" readingOrder="0" vertical="center"/>
    </xf>
    <xf borderId="0" fillId="0" fontId="40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5" fontId="35" numFmtId="0" xfId="0" applyAlignment="1" applyFont="1">
      <alignment horizontal="center" readingOrder="0"/>
    </xf>
    <xf borderId="0" fillId="0" fontId="35" numFmtId="0" xfId="0" applyAlignment="1" applyFont="1">
      <alignment horizontal="center" readingOrder="0"/>
    </xf>
    <xf borderId="0" fillId="5" fontId="41" numFmtId="0" xfId="0" applyAlignment="1" applyFont="1">
      <alignment horizontal="center" readingOrder="0"/>
    </xf>
    <xf borderId="0" fillId="0" fontId="41" numFmtId="0" xfId="0" applyAlignment="1" applyFont="1">
      <alignment horizontal="center" readingOrder="0"/>
    </xf>
    <xf borderId="0" fillId="0" fontId="41" numFmtId="165" xfId="0" applyAlignment="1" applyFont="1" applyNumberFormat="1">
      <alignment horizontal="center" readingOrder="0"/>
    </xf>
    <xf borderId="0" fillId="0" fontId="42" numFmtId="0" xfId="0" applyAlignment="1" applyFont="1">
      <alignment horizontal="center" vertical="bottom"/>
    </xf>
    <xf borderId="0" fillId="0" fontId="42" numFmtId="0" xfId="0" applyAlignment="1" applyFont="1">
      <alignment horizontal="center" readingOrder="0" vertical="bottom"/>
    </xf>
    <xf borderId="0" fillId="0" fontId="41" numFmtId="0" xfId="0" applyFont="1"/>
    <xf borderId="0" fillId="0" fontId="41" numFmtId="0" xfId="0" applyAlignment="1" applyFont="1">
      <alignment horizontal="center"/>
    </xf>
    <xf borderId="0" fillId="3" fontId="2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167" xfId="0" applyAlignment="1" applyFont="1" applyNumberForma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3" fontId="41" numFmtId="0" xfId="0" applyAlignment="1" applyFont="1">
      <alignment horizontal="center" readingOrder="0" vertical="center"/>
    </xf>
    <xf borderId="0" fillId="0" fontId="41" numFmtId="0" xfId="0" applyAlignment="1" applyFont="1">
      <alignment horizontal="center" readingOrder="0" vertical="center"/>
    </xf>
    <xf borderId="0" fillId="0" fontId="41" numFmtId="167" xfId="0" applyAlignment="1" applyFont="1" applyNumberFormat="1">
      <alignment horizontal="center" readingOrder="0" vertical="center"/>
    </xf>
    <xf borderId="0" fillId="0" fontId="41" numFmtId="0" xfId="0" applyAlignment="1" applyFont="1">
      <alignment horizontal="center" vertical="center"/>
    </xf>
    <xf borderId="0" fillId="0" fontId="42" numFmtId="0" xfId="0" applyAlignment="1" applyFont="1">
      <alignment horizontal="center" readingOrder="0" vertical="center"/>
    </xf>
    <xf borderId="0" fillId="3" fontId="35" numFmtId="0" xfId="0" applyAlignment="1" applyFont="1">
      <alignment horizontal="center" readingOrder="0" vertical="center"/>
    </xf>
    <xf borderId="0" fillId="0" fontId="39" numFmtId="0" xfId="0" applyAlignment="1" applyFont="1">
      <alignment horizontal="center" readingOrder="0" vertical="center"/>
    </xf>
    <xf borderId="0" fillId="0" fontId="39" numFmtId="167" xfId="0" applyAlignment="1" applyFont="1" applyNumberFormat="1">
      <alignment horizontal="center" readingOrder="0" vertical="center"/>
    </xf>
    <xf borderId="0" fillId="3" fontId="26" numFmtId="0" xfId="0" applyAlignment="1" applyFont="1">
      <alignment horizontal="center" readingOrder="0"/>
    </xf>
    <xf borderId="0" fillId="10" fontId="2" numFmtId="0" xfId="0" applyAlignment="1" applyFill="1" applyFont="1">
      <alignment horizontal="center" readingOrder="0" vertical="center"/>
    </xf>
    <xf borderId="0" fillId="10" fontId="29" numFmtId="0" xfId="0" applyAlignment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1" fillId="11" fontId="1" numFmtId="0" xfId="0" applyAlignment="1" applyBorder="1" applyFill="1" applyFont="1">
      <alignment horizontal="center" readingOrder="0" vertical="center"/>
    </xf>
    <xf borderId="1" fillId="11" fontId="21" numFmtId="0" xfId="0" applyAlignment="1" applyBorder="1" applyFont="1">
      <alignment horizontal="center" readingOrder="0" vertical="center"/>
    </xf>
    <xf borderId="1" fillId="9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1" fillId="9" fontId="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vertical="center"/>
    </xf>
    <xf borderId="1" fillId="7" fontId="36" numFmtId="0" xfId="0" applyAlignment="1" applyBorder="1" applyFont="1">
      <alignment horizontal="center" readingOrder="0" vertical="center"/>
    </xf>
    <xf borderId="1" fillId="0" fontId="3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/>
    </xf>
    <xf borderId="0" fillId="9" fontId="21" numFmtId="0" xfId="0" applyAlignment="1" applyFont="1">
      <alignment horizontal="center" vertical="center"/>
    </xf>
    <xf borderId="0" fillId="9" fontId="1" numFmtId="0" xfId="0" applyAlignment="1" applyFont="1">
      <alignment horizontal="center" vertical="center"/>
    </xf>
    <xf borderId="0" fillId="9" fontId="21" numFmtId="0" xfId="0" applyAlignment="1" applyFont="1">
      <alignment horizontal="center" readingOrder="0" vertical="center"/>
    </xf>
    <xf borderId="0" fillId="9" fontId="21" numFmtId="168" xfId="0" applyAlignment="1" applyFont="1" applyNumberFormat="1">
      <alignment horizontal="center" vertical="center"/>
    </xf>
    <xf borderId="0" fillId="9" fontId="21" numFmtId="168" xfId="0" applyAlignment="1" applyFont="1" applyNumberForma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2" fillId="12" fontId="43" numFmtId="0" xfId="0" applyBorder="1" applyFill="1" applyFont="1"/>
    <xf borderId="2" fillId="12" fontId="44" numFmtId="0" xfId="0" applyBorder="1" applyFont="1"/>
    <xf borderId="2" fillId="12" fontId="44" numFmtId="0" xfId="0" applyAlignment="1" applyBorder="1" applyFont="1">
      <alignment horizontal="center"/>
    </xf>
    <xf borderId="0" fillId="0" fontId="43" numFmtId="0" xfId="0" applyFont="1"/>
    <xf borderId="0" fillId="0" fontId="43" numFmtId="0" xfId="0" applyAlignment="1" applyFont="1">
      <alignment horizontal="left"/>
    </xf>
    <xf borderId="0" fillId="0" fontId="43" numFmtId="0" xfId="0" applyAlignment="1" applyFont="1">
      <alignment horizontal="center"/>
    </xf>
    <xf borderId="0" fillId="0" fontId="43" numFmtId="169" xfId="0" applyAlignment="1" applyFont="1" applyNumberFormat="1">
      <alignment horizontal="center"/>
    </xf>
    <xf borderId="0" fillId="0" fontId="45" numFmtId="0" xfId="0" applyAlignment="1" applyFont="1">
      <alignment horizontal="center"/>
    </xf>
    <xf borderId="0" fillId="0" fontId="45" numFmtId="170" xfId="0" applyAlignment="1" applyFont="1" applyNumberFormat="1">
      <alignment horizontal="center"/>
    </xf>
    <xf borderId="0" fillId="0" fontId="45" numFmtId="0" xfId="0" applyFont="1"/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7" fontId="46" numFmtId="0" xfId="0" applyAlignment="1" applyBorder="1" applyFont="1">
      <alignment horizontal="center" shrinkToFit="0" wrapText="1"/>
    </xf>
    <xf borderId="1" fillId="0" fontId="46" numFmtId="0" xfId="0" applyAlignment="1" applyBorder="1" applyFont="1">
      <alignment horizontal="center"/>
    </xf>
    <xf borderId="1" fillId="7" fontId="47" numFmtId="0" xfId="0" applyAlignment="1" applyBorder="1" applyFont="1">
      <alignment shrinkToFit="0" wrapText="1"/>
    </xf>
    <xf borderId="1" fillId="0" fontId="43" numFmtId="0" xfId="0" applyBorder="1" applyFont="1"/>
    <xf borderId="1" fillId="0" fontId="45" numFmtId="0" xfId="0" applyAlignment="1" applyBorder="1" applyFont="1">
      <alignment horizontal="center" shrinkToFit="0" wrapText="1"/>
    </xf>
    <xf borderId="1" fillId="0" fontId="43" numFmtId="0" xfId="0" applyAlignment="1" applyBorder="1" applyFont="1">
      <alignment horizontal="center"/>
    </xf>
    <xf borderId="1" fillId="13" fontId="2" numFmtId="0" xfId="0" applyAlignment="1" applyBorder="1" applyFill="1" applyFont="1">
      <alignment horizontal="center"/>
    </xf>
    <xf borderId="1" fillId="9" fontId="1" numFmtId="0" xfId="0" applyAlignment="1" applyBorder="1" applyFont="1">
      <alignment horizontal="center"/>
    </xf>
    <xf borderId="1" fillId="10" fontId="1" numFmtId="17" xfId="0" applyAlignment="1" applyBorder="1" applyFont="1" applyNumberFormat="1">
      <alignment horizontal="center"/>
    </xf>
    <xf borderId="1" fillId="10" fontId="1" numFmtId="0" xfId="0" applyAlignment="1" applyBorder="1" applyFont="1">
      <alignment horizontal="center"/>
    </xf>
    <xf borderId="1" fillId="0" fontId="1" numFmtId="17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168" xfId="0" applyAlignment="1" applyBorder="1" applyFont="1" applyNumberFormat="1">
      <alignment horizontal="center"/>
    </xf>
    <xf borderId="0" fillId="7" fontId="21" numFmtId="0" xfId="0" applyFont="1"/>
    <xf borderId="1" fillId="5" fontId="1" numFmtId="168" xfId="0" applyAlignment="1" applyBorder="1" applyFont="1" applyNumberFormat="1">
      <alignment horizontal="center"/>
    </xf>
    <xf borderId="1" fillId="5" fontId="1" numFmtId="0" xfId="0" applyAlignment="1" applyBorder="1" applyFont="1">
      <alignment horizontal="center"/>
    </xf>
    <xf borderId="1" fillId="0" fontId="21" numFmtId="0" xfId="0" applyAlignment="1" applyBorder="1" applyFont="1">
      <alignment horizontal="center"/>
    </xf>
    <xf borderId="1" fillId="10" fontId="21" numFmtId="0" xfId="0" applyAlignment="1" applyBorder="1" applyFont="1">
      <alignment horizontal="center"/>
    </xf>
    <xf borderId="1" fillId="10" fontId="21" numFmtId="0" xfId="0" applyAlignment="1" applyBorder="1" applyFont="1">
      <alignment horizontal="center" readingOrder="0"/>
    </xf>
    <xf borderId="1" fillId="5" fontId="21" numFmtId="0" xfId="0" applyAlignment="1" applyBorder="1" applyFont="1">
      <alignment horizontal="center"/>
    </xf>
    <xf borderId="1" fillId="0" fontId="21" numFmtId="0" xfId="0" applyAlignment="1" applyBorder="1" applyFont="1">
      <alignment horizontal="center" readingOrder="0"/>
    </xf>
    <xf borderId="1" fillId="5" fontId="21" numFmtId="0" xfId="0" applyAlignment="1" applyBorder="1" applyFont="1">
      <alignment horizontal="center" readingOrder="0"/>
    </xf>
    <xf borderId="1" fillId="9" fontId="21" numFmtId="0" xfId="0" applyAlignment="1" applyBorder="1" applyFont="1">
      <alignment horizontal="center"/>
    </xf>
    <xf borderId="1" fillId="9" fontId="21" numFmtId="0" xfId="0" applyAlignment="1" applyBorder="1" applyFont="1">
      <alignment horizontal="center" readingOrder="0"/>
    </xf>
    <xf borderId="1" fillId="9" fontId="21" numFmtId="168" xfId="0" applyAlignment="1" applyBorder="1" applyFont="1" applyNumberFormat="1">
      <alignment horizontal="center"/>
    </xf>
    <xf borderId="1" fillId="9" fontId="1" numFmtId="0" xfId="0" applyAlignment="1" applyBorder="1" applyFont="1">
      <alignment horizontal="center" readingOrder="0"/>
    </xf>
    <xf borderId="1" fillId="10" fontId="21" numFmtId="168" xfId="0" applyAlignment="1" applyBorder="1" applyFont="1" applyNumberFormat="1">
      <alignment horizontal="center" readingOrder="0"/>
    </xf>
    <xf borderId="1" fillId="9" fontId="6" numFmtId="168" xfId="0" applyAlignment="1" applyBorder="1" applyFont="1" applyNumberFormat="1">
      <alignment horizontal="center" readingOrder="0"/>
    </xf>
    <xf borderId="1" fillId="9" fontId="6" numFmtId="0" xfId="0" applyAlignment="1" applyBorder="1" applyFont="1">
      <alignment horizontal="center" readingOrder="0"/>
    </xf>
    <xf borderId="1" fillId="10" fontId="6" numFmtId="0" xfId="0" applyAlignment="1" applyBorder="1" applyFont="1">
      <alignment horizontal="center" readingOrder="0"/>
    </xf>
    <xf borderId="1" fillId="10" fontId="1" numFmtId="0" xfId="0" applyAlignment="1" applyBorder="1" applyFont="1">
      <alignment horizontal="center" readingOrder="0"/>
    </xf>
    <xf borderId="0" fillId="14" fontId="3" numFmtId="0" xfId="0" applyAlignment="1" applyFill="1" applyFont="1">
      <alignment horizontal="center" shrinkToFit="0" vertical="bottom" wrapText="0"/>
    </xf>
    <xf borderId="3" fillId="14" fontId="3" numFmtId="0" xfId="0" applyAlignment="1" applyBorder="1" applyFont="1">
      <alignment horizontal="center" shrinkToFit="0" vertical="bottom" wrapText="0"/>
    </xf>
    <xf borderId="4" fillId="0" fontId="48" numFmtId="0" xfId="0" applyBorder="1" applyFont="1"/>
    <xf borderId="1" fillId="14" fontId="3" numFmtId="0" xfId="0" applyAlignment="1" applyBorder="1" applyFont="1">
      <alignment horizontal="center" shrinkToFit="0" vertical="bottom" wrapText="0"/>
    </xf>
    <xf borderId="1" fillId="7" fontId="49" numFmtId="0" xfId="0" applyAlignment="1" applyBorder="1" applyFont="1">
      <alignment vertical="bottom"/>
    </xf>
    <xf borderId="1" fillId="7" fontId="36" numFmtId="0" xfId="0" applyAlignment="1" applyBorder="1" applyFont="1">
      <alignment horizontal="center" vertical="bottom"/>
    </xf>
    <xf borderId="1" fillId="7" fontId="36" numFmtId="0" xfId="0" applyAlignment="1" applyBorder="1" applyFont="1">
      <alignment horizontal="center"/>
    </xf>
    <xf borderId="1" fillId="7" fontId="3" numFmtId="0" xfId="0" applyAlignment="1" applyBorder="1" applyFont="1">
      <alignment horizontal="center" shrinkToFit="0" vertical="bottom" wrapText="0"/>
    </xf>
    <xf borderId="1" fillId="7" fontId="50" numFmtId="0" xfId="0" applyAlignment="1" applyBorder="1" applyFont="1">
      <alignment vertical="bottom"/>
    </xf>
    <xf borderId="1" fillId="15" fontId="50" numFmtId="0" xfId="0" applyAlignment="1" applyBorder="1" applyFill="1" applyFont="1">
      <alignment vertical="bottom"/>
    </xf>
    <xf borderId="1" fillId="15" fontId="36" numFmtId="0" xfId="0" applyAlignment="1" applyBorder="1" applyFont="1">
      <alignment horizontal="center" vertical="bottom"/>
    </xf>
    <xf borderId="5" fillId="15" fontId="1" numFmtId="0" xfId="0" applyAlignment="1" applyBorder="1" applyFont="1">
      <alignment horizontal="center"/>
    </xf>
    <xf borderId="1" fillId="7" fontId="3" numFmtId="0" xfId="0" applyAlignment="1" applyBorder="1" applyFont="1">
      <alignment horizontal="center" shrinkToFit="0" wrapText="0"/>
    </xf>
    <xf borderId="1" fillId="15" fontId="3" numFmtId="0" xfId="0" applyAlignment="1" applyBorder="1" applyFont="1">
      <alignment horizontal="center" shrinkToFit="0" wrapText="0"/>
    </xf>
    <xf borderId="1" fillId="15" fontId="49" numFmtId="0" xfId="0" applyAlignment="1" applyBorder="1" applyFont="1">
      <alignment vertical="bottom"/>
    </xf>
    <xf borderId="1" fillId="0" fontId="50" numFmtId="0" xfId="0" applyAlignment="1" applyBorder="1" applyFont="1">
      <alignment vertical="bottom"/>
    </xf>
    <xf borderId="1" fillId="7" fontId="50" numFmtId="0" xfId="0" applyAlignment="1" applyBorder="1" applyFont="1">
      <alignment shrinkToFit="0" vertical="bottom" wrapText="0"/>
    </xf>
    <xf borderId="0" fillId="15" fontId="50" numFmtId="0" xfId="0" applyAlignment="1" applyFont="1">
      <alignment shrinkToFit="0" vertical="bottom" wrapText="0"/>
    </xf>
    <xf borderId="1" fillId="4" fontId="50" numFmtId="0" xfId="0" applyAlignment="1" applyBorder="1" applyFont="1">
      <alignment vertical="bottom"/>
    </xf>
    <xf borderId="1" fillId="4" fontId="36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shrinkToFit="0" wrapText="0"/>
    </xf>
    <xf borderId="1" fillId="15" fontId="51" numFmtId="0" xfId="0" applyAlignment="1" applyBorder="1" applyFont="1">
      <alignment horizontal="center" vertical="bottom"/>
    </xf>
    <xf borderId="1" fillId="7" fontId="3" numFmtId="0" xfId="0" applyAlignment="1" applyBorder="1" applyFont="1">
      <alignment shrinkToFit="0" vertical="bottom" wrapText="0"/>
    </xf>
    <xf borderId="1" fillId="7" fontId="52" numFmtId="0" xfId="0" applyAlignment="1" applyBorder="1" applyFont="1">
      <alignment horizontal="left" vertical="bottom"/>
    </xf>
    <xf borderId="1" fillId="0" fontId="31" numFmtId="0" xfId="0" applyAlignment="1" applyBorder="1" applyFont="1">
      <alignment horizontal="center"/>
    </xf>
    <xf borderId="1" fillId="0" fontId="52" numFmtId="0" xfId="0" applyAlignment="1" applyBorder="1" applyFont="1">
      <alignment vertical="bottom"/>
    </xf>
    <xf borderId="1" fillId="0" fontId="53" numFmtId="0" xfId="0" applyAlignment="1" applyBorder="1" applyFont="1">
      <alignment horizontal="left" vertical="bottom"/>
    </xf>
    <xf borderId="1" fillId="0" fontId="31" numFmtId="0" xfId="0" applyAlignment="1" applyBorder="1" applyFont="1">
      <alignment horizontal="left"/>
    </xf>
    <xf borderId="1" fillId="0" fontId="54" numFmtId="0" xfId="0" applyAlignment="1" applyBorder="1" applyFont="1">
      <alignment horizontal="left"/>
    </xf>
    <xf borderId="1" fillId="7" fontId="53" numFmtId="0" xfId="0" applyAlignment="1" applyBorder="1" applyFont="1">
      <alignment horizontal="left" vertical="bottom"/>
    </xf>
    <xf borderId="1" fillId="0" fontId="55" numFmtId="0" xfId="0" applyAlignment="1" applyBorder="1" applyFont="1">
      <alignment horizontal="left"/>
    </xf>
    <xf borderId="1" fillId="0" fontId="56" numFmtId="0" xfId="0" applyAlignment="1" applyBorder="1" applyFont="1">
      <alignment horizontal="left"/>
    </xf>
    <xf borderId="1" fillId="7" fontId="57" numFmtId="0" xfId="0" applyAlignment="1" applyBorder="1" applyFont="1">
      <alignment horizontal="left" vertical="bottom"/>
    </xf>
    <xf borderId="1" fillId="6" fontId="31" numFmtId="0" xfId="0" applyAlignment="1" applyBorder="1" applyFont="1">
      <alignment horizontal="left"/>
    </xf>
    <xf borderId="1" fillId="7" fontId="52" numFmtId="0" xfId="0" applyAlignment="1" applyBorder="1" applyFont="1">
      <alignment horizontal="left" shrinkToFit="0" vertical="bottom" wrapText="0"/>
    </xf>
    <xf borderId="1" fillId="7" fontId="53" numFmtId="0" xfId="0" applyAlignment="1" applyBorder="1" applyFont="1">
      <alignment horizontal="left" shrinkToFit="0" vertical="bottom" wrapText="0"/>
    </xf>
    <xf borderId="1" fillId="0" fontId="21" numFmtId="0" xfId="0" applyBorder="1" applyFont="1"/>
    <xf borderId="1" fillId="4" fontId="54" numFmtId="0" xfId="0" applyAlignment="1" applyBorder="1" applyFont="1">
      <alignment horizontal="left"/>
    </xf>
    <xf borderId="1" fillId="0" fontId="58" numFmtId="0" xfId="0" applyBorder="1" applyFont="1"/>
    <xf borderId="1" fillId="7" fontId="59" numFmtId="0" xfId="0" applyAlignment="1" applyBorder="1" applyFont="1">
      <alignment horizontal="left" vertical="bottom"/>
    </xf>
    <xf borderId="1" fillId="7" fontId="60" numFmtId="0" xfId="0" applyAlignment="1" applyBorder="1" applyFont="1">
      <alignment horizontal="left" vertical="bottom"/>
    </xf>
    <xf borderId="1" fillId="0" fontId="61" numFmtId="0" xfId="0" applyAlignment="1" applyBorder="1" applyFont="1">
      <alignment horizontal="left"/>
    </xf>
    <xf borderId="1" fillId="0" fontId="58" numFmtId="0" xfId="0" applyAlignment="1" applyBorder="1" applyFont="1">
      <alignment horizontal="center"/>
    </xf>
    <xf borderId="1" fillId="0" fontId="54" numFmtId="0" xfId="0" applyAlignment="1" applyBorder="1" applyFont="1">
      <alignment horizontal="left" vertical="bottom"/>
    </xf>
    <xf borderId="1" fillId="0" fontId="31" numFmtId="0" xfId="0" applyAlignment="1" applyBorder="1" applyFont="1">
      <alignment horizontal="left" vertical="bottom"/>
    </xf>
    <xf borderId="1" fillId="0" fontId="31" numFmtId="0" xfId="0" applyBorder="1" applyFont="1"/>
    <xf borderId="1" fillId="0" fontId="23" numFmtId="0" xfId="0" applyAlignment="1" applyBorder="1" applyFont="1">
      <alignment horizontal="left"/>
    </xf>
    <xf borderId="1" fillId="0" fontId="54" numFmtId="0" xfId="0" applyBorder="1" applyFont="1"/>
    <xf borderId="0" fillId="0" fontId="1" numFmtId="0" xfId="0" applyAlignment="1" applyFont="1">
      <alignment vertical="bottom"/>
    </xf>
    <xf borderId="6" fillId="0" fontId="1" numFmtId="0" xfId="0" applyAlignment="1" applyBorder="1" applyFont="1">
      <alignment vertical="bottom"/>
    </xf>
    <xf borderId="0" fillId="0" fontId="54" numFmtId="0" xfId="0" applyFont="1"/>
    <xf borderId="0" fillId="0" fontId="21" numFmtId="0" xfId="0" applyFont="1"/>
    <xf borderId="3" fillId="16" fontId="29" numFmtId="0" xfId="0" applyAlignment="1" applyBorder="1" applyFill="1" applyFont="1">
      <alignment horizontal="center"/>
    </xf>
    <xf borderId="7" fillId="0" fontId="48" numFmtId="0" xfId="0" applyBorder="1" applyFont="1"/>
    <xf borderId="3" fillId="13" fontId="29" numFmtId="0" xfId="0" applyAlignment="1" applyBorder="1" applyFont="1">
      <alignment horizontal="center"/>
    </xf>
    <xf borderId="1" fillId="17" fontId="29" numFmtId="0" xfId="0" applyAlignment="1" applyBorder="1" applyFill="1" applyFont="1">
      <alignment horizontal="center"/>
    </xf>
    <xf borderId="3" fillId="17" fontId="29" numFmtId="0" xfId="0" applyAlignment="1" applyBorder="1" applyFont="1">
      <alignment horizontal="center"/>
    </xf>
    <xf borderId="1" fillId="18" fontId="29" numFmtId="0" xfId="0" applyAlignment="1" applyBorder="1" applyFill="1" applyFont="1">
      <alignment horizontal="center"/>
    </xf>
    <xf borderId="3" fillId="18" fontId="29" numFmtId="0" xfId="0" applyAlignment="1" applyBorder="1" applyFont="1">
      <alignment horizontal="center"/>
    </xf>
    <xf borderId="3" fillId="19" fontId="29" numFmtId="0" xfId="0" applyAlignment="1" applyBorder="1" applyFill="1" applyFont="1">
      <alignment horizontal="center"/>
    </xf>
    <xf borderId="0" fillId="0" fontId="29" numFmtId="0" xfId="0" applyAlignment="1" applyFont="1">
      <alignment horizontal="center"/>
    </xf>
    <xf borderId="1" fillId="0" fontId="29" numFmtId="0" xfId="0" applyAlignment="1" applyBorder="1" applyFont="1">
      <alignment horizontal="center"/>
    </xf>
    <xf borderId="1" fillId="20" fontId="62" numFmtId="0" xfId="0" applyAlignment="1" applyBorder="1" applyFill="1" applyFont="1">
      <alignment horizontal="center"/>
    </xf>
    <xf borderId="1" fillId="20" fontId="52" numFmtId="0" xfId="0" applyAlignment="1" applyBorder="1" applyFont="1">
      <alignment horizontal="left" shrinkToFit="0" vertical="bottom" wrapText="0"/>
    </xf>
    <xf borderId="1" fillId="20" fontId="21" numFmtId="0" xfId="0" applyAlignment="1" applyBorder="1" applyFont="1">
      <alignment horizontal="center"/>
    </xf>
    <xf borderId="1" fillId="0" fontId="62" numFmtId="0" xfId="0" applyAlignment="1" applyBorder="1" applyFont="1">
      <alignment horizontal="center"/>
    </xf>
    <xf borderId="8" fillId="20" fontId="63" numFmtId="0" xfId="0" applyAlignment="1" applyBorder="1" applyFont="1">
      <alignment horizontal="center" shrinkToFit="0" vertical="bottom" wrapText="0"/>
    </xf>
    <xf borderId="9" fillId="20" fontId="31" numFmtId="0" xfId="0" applyAlignment="1" applyBorder="1" applyFont="1">
      <alignment shrinkToFit="0" vertical="bottom" wrapText="0"/>
    </xf>
    <xf borderId="1" fillId="20" fontId="21" numFmtId="0" xfId="0" applyAlignment="1" applyBorder="1" applyFont="1">
      <alignment horizontal="center" readingOrder="0"/>
    </xf>
    <xf borderId="1" fillId="20" fontId="54" numFmtId="0" xfId="0" applyAlignment="1" applyBorder="1" applyFont="1">
      <alignment horizontal="left"/>
    </xf>
    <xf borderId="1" fillId="21" fontId="29" numFmtId="0" xfId="0" applyAlignment="1" applyBorder="1" applyFill="1" applyFont="1">
      <alignment horizontal="center"/>
    </xf>
    <xf borderId="1" fillId="21" fontId="54" numFmtId="0" xfId="0" applyAlignment="1" applyBorder="1" applyFont="1">
      <alignment horizontal="left"/>
    </xf>
    <xf borderId="1" fillId="21" fontId="21" numFmtId="0" xfId="0" applyAlignment="1" applyBorder="1" applyFont="1">
      <alignment horizontal="center"/>
    </xf>
    <xf borderId="9" fillId="20" fontId="52" numFmtId="0" xfId="0" applyAlignment="1" applyBorder="1" applyFont="1">
      <alignment horizontal="left" shrinkToFit="0" vertical="bottom" wrapText="0"/>
    </xf>
    <xf borderId="1" fillId="0" fontId="64" numFmtId="0" xfId="0" applyAlignment="1" applyBorder="1" applyFont="1">
      <alignment horizontal="center"/>
    </xf>
    <xf borderId="9" fillId="0" fontId="65" numFmtId="0" xfId="0" applyAlignment="1" applyBorder="1" applyFont="1">
      <alignment horizontal="left" shrinkToFit="0" vertical="bottom" wrapText="0"/>
    </xf>
    <xf borderId="9" fillId="20" fontId="53" numFmtId="0" xfId="0" applyAlignment="1" applyBorder="1" applyFont="1">
      <alignment shrinkToFit="0" vertical="bottom" wrapText="0"/>
    </xf>
    <xf borderId="1" fillId="20" fontId="57" numFmtId="0" xfId="0" applyAlignment="1" applyBorder="1" applyFont="1">
      <alignment horizontal="left" shrinkToFit="0" vertical="bottom" wrapText="0"/>
    </xf>
    <xf borderId="1" fillId="12" fontId="62" numFmtId="0" xfId="0" applyAlignment="1" applyBorder="1" applyFont="1">
      <alignment horizontal="center"/>
    </xf>
    <xf borderId="1" fillId="12" fontId="57" numFmtId="0" xfId="0" applyAlignment="1" applyBorder="1" applyFont="1">
      <alignment horizontal="left"/>
    </xf>
    <xf borderId="1" fillId="12" fontId="21" numFmtId="0" xfId="0" applyAlignment="1" applyBorder="1" applyFont="1">
      <alignment horizontal="center"/>
    </xf>
    <xf borderId="1" fillId="4" fontId="62" numFmtId="0" xfId="0" applyAlignment="1" applyBorder="1" applyFont="1">
      <alignment horizontal="center"/>
    </xf>
    <xf borderId="9" fillId="4" fontId="53" numFmtId="0" xfId="0" applyAlignment="1" applyBorder="1" applyFont="1">
      <alignment shrinkToFit="0" vertical="bottom" wrapText="0"/>
    </xf>
    <xf borderId="1" fillId="4" fontId="21" numFmtId="0" xfId="0" applyAlignment="1" applyBorder="1" applyFont="1">
      <alignment horizontal="center" readingOrder="0"/>
    </xf>
    <xf borderId="1" fillId="7" fontId="29" numFmtId="0" xfId="0" applyAlignment="1" applyBorder="1" applyFont="1">
      <alignment horizontal="center"/>
    </xf>
    <xf borderId="1" fillId="7" fontId="54" numFmtId="0" xfId="0" applyAlignment="1" applyBorder="1" applyFont="1">
      <alignment horizontal="left"/>
    </xf>
    <xf borderId="1" fillId="7" fontId="21" numFmtId="0" xfId="0" applyAlignment="1" applyBorder="1" applyFont="1">
      <alignment horizontal="center"/>
    </xf>
    <xf borderId="0" fillId="21" fontId="21" numFmtId="0" xfId="0" applyAlignment="1" applyFont="1">
      <alignment horizontal="center"/>
    </xf>
    <xf borderId="1" fillId="22" fontId="62" numFmtId="0" xfId="0" applyAlignment="1" applyBorder="1" applyFill="1" applyFont="1">
      <alignment horizontal="center"/>
    </xf>
    <xf borderId="1" fillId="22" fontId="54" numFmtId="0" xfId="0" applyAlignment="1" applyBorder="1" applyFont="1">
      <alignment horizontal="left"/>
    </xf>
    <xf borderId="1" fillId="22" fontId="21" numFmtId="0" xfId="0" applyAlignment="1" applyBorder="1" applyFont="1">
      <alignment horizontal="center" readingOrder="0"/>
    </xf>
    <xf borderId="9" fillId="0" fontId="57" numFmtId="0" xfId="0" applyAlignment="1" applyBorder="1" applyFont="1">
      <alignment horizontal="left" shrinkToFit="0" vertical="bottom" wrapText="0"/>
    </xf>
    <xf borderId="1" fillId="14" fontId="62" numFmtId="0" xfId="0" applyAlignment="1" applyBorder="1" applyFont="1">
      <alignment horizontal="center"/>
    </xf>
    <xf borderId="1" fillId="14" fontId="54" numFmtId="0" xfId="0" applyAlignment="1" applyBorder="1" applyFont="1">
      <alignment horizontal="left"/>
    </xf>
    <xf borderId="1" fillId="14" fontId="21" numFmtId="0" xfId="0" applyAlignment="1" applyBorder="1" applyFont="1">
      <alignment horizontal="center"/>
    </xf>
    <xf borderId="1" fillId="21" fontId="54" numFmtId="0" xfId="0" applyBorder="1" applyFont="1"/>
    <xf borderId="0" fillId="14" fontId="21" numFmtId="0" xfId="0" applyAlignment="1" applyFont="1">
      <alignment horizontal="center"/>
    </xf>
    <xf borderId="1" fillId="22" fontId="21" numFmtId="0" xfId="0" applyAlignment="1" applyBorder="1" applyFont="1">
      <alignment horizontal="center"/>
    </xf>
    <xf borderId="1" fillId="0" fontId="52" numFmtId="0" xfId="0" applyAlignment="1" applyBorder="1" applyFont="1">
      <alignment horizontal="left" shrinkToFit="0" vertical="bottom" wrapText="0"/>
    </xf>
    <xf borderId="0" fillId="22" fontId="21" numFmtId="0" xfId="0" applyAlignment="1" applyFont="1">
      <alignment horizontal="center"/>
    </xf>
    <xf borderId="1" fillId="22" fontId="52" numFmtId="0" xfId="0" applyAlignment="1" applyBorder="1" applyFont="1">
      <alignment horizontal="left" shrinkToFit="0" vertical="bottom" wrapText="0"/>
    </xf>
    <xf borderId="9" fillId="12" fontId="52" numFmtId="0" xfId="0" applyAlignment="1" applyBorder="1" applyFont="1">
      <alignment horizontal="left" shrinkToFit="0" vertical="bottom" wrapText="0"/>
    </xf>
    <xf borderId="1" fillId="7" fontId="62" numFmtId="0" xfId="0" applyAlignment="1" applyBorder="1" applyFont="1">
      <alignment horizontal="center"/>
    </xf>
    <xf borderId="1" fillId="23" fontId="62" numFmtId="0" xfId="0" applyAlignment="1" applyBorder="1" applyFill="1" applyFont="1">
      <alignment horizontal="center"/>
    </xf>
    <xf borderId="5" fillId="23" fontId="54" numFmtId="0" xfId="0" applyAlignment="1" applyBorder="1" applyFont="1">
      <alignment horizontal="left"/>
    </xf>
    <xf borderId="1" fillId="23" fontId="21" numFmtId="0" xfId="0" applyAlignment="1" applyBorder="1" applyFont="1">
      <alignment horizontal="center"/>
    </xf>
    <xf borderId="1" fillId="4" fontId="54" numFmtId="0" xfId="0" applyBorder="1" applyFont="1"/>
    <xf borderId="9" fillId="0" fontId="52" numFmtId="0" xfId="0" applyAlignment="1" applyBorder="1" applyFont="1">
      <alignment horizontal="left" shrinkToFit="0" vertical="bottom" wrapText="0"/>
    </xf>
    <xf borderId="1" fillId="12" fontId="54" numFmtId="0" xfId="0" applyBorder="1" applyFont="1"/>
    <xf borderId="1" fillId="4" fontId="21" numFmtId="0" xfId="0" applyAlignment="1" applyBorder="1" applyFont="1">
      <alignment horizontal="center"/>
    </xf>
    <xf borderId="5" fillId="20" fontId="54" numFmtId="0" xfId="0" applyAlignment="1" applyBorder="1" applyFont="1">
      <alignment horizontal="left"/>
    </xf>
    <xf borderId="1" fillId="21" fontId="62" numFmtId="0" xfId="0" applyAlignment="1" applyBorder="1" applyFont="1">
      <alignment horizontal="center"/>
    </xf>
    <xf borderId="1" fillId="14" fontId="54" numFmtId="0" xfId="0" applyBorder="1" applyFont="1"/>
    <xf borderId="1" fillId="22" fontId="54" numFmtId="0" xfId="0" applyBorder="1" applyFont="1"/>
    <xf borderId="9" fillId="20" fontId="57" numFmtId="0" xfId="0" applyAlignment="1" applyBorder="1" applyFont="1">
      <alignment horizontal="left" shrinkToFit="0" vertical="bottom" wrapText="0"/>
    </xf>
    <xf borderId="1" fillId="20" fontId="54" numFmtId="0" xfId="0" applyBorder="1" applyFont="1"/>
    <xf borderId="5" fillId="7" fontId="57" numFmtId="0" xfId="0" applyAlignment="1" applyBorder="1" applyFont="1">
      <alignment horizontal="left"/>
    </xf>
    <xf borderId="1" fillId="4" fontId="49" numFmtId="0" xfId="0" applyAlignment="1" applyBorder="1" applyFont="1">
      <alignment vertical="bottom"/>
    </xf>
    <xf borderId="9" fillId="22" fontId="52" numFmtId="0" xfId="0" applyAlignment="1" applyBorder="1" applyFont="1">
      <alignment horizontal="left" shrinkToFit="0" vertical="bottom" wrapText="0"/>
    </xf>
    <xf borderId="1" fillId="7" fontId="54" numFmtId="0" xfId="0" applyBorder="1" applyFont="1"/>
    <xf borderId="1" fillId="21" fontId="52" numFmtId="0" xfId="0" applyAlignment="1" applyBorder="1" applyFont="1">
      <alignment horizontal="left" shrinkToFit="0" vertical="bottom" wrapText="0"/>
    </xf>
    <xf borderId="5" fillId="0" fontId="54" numFmtId="0" xfId="0" applyAlignment="1" applyBorder="1" applyFont="1">
      <alignment horizontal="left"/>
    </xf>
    <xf borderId="1" fillId="20" fontId="62" numFmtId="0" xfId="0" applyAlignment="1" applyBorder="1" applyFont="1">
      <alignment horizontal="center" readingOrder="0"/>
    </xf>
    <xf borderId="1" fillId="20" fontId="57" numFmtId="0" xfId="0" applyAlignment="1" applyBorder="1" applyFont="1">
      <alignment horizontal="left" readingOrder="0" shrinkToFit="0" vertical="bottom" wrapText="0"/>
    </xf>
    <xf borderId="1" fillId="24" fontId="62" numFmtId="0" xfId="0" applyAlignment="1" applyBorder="1" applyFill="1" applyFont="1">
      <alignment horizontal="center"/>
    </xf>
    <xf borderId="1" fillId="24" fontId="54" numFmtId="0" xfId="0" applyBorder="1" applyFont="1"/>
    <xf borderId="1" fillId="24" fontId="21" numFmtId="0" xfId="0" applyAlignment="1" applyBorder="1" applyFont="1">
      <alignment horizontal="center"/>
    </xf>
    <xf borderId="1" fillId="0" fontId="62" numFmtId="0" xfId="0" applyAlignment="1" applyBorder="1" applyFont="1">
      <alignment horizontal="center" readingOrder="0"/>
    </xf>
    <xf borderId="1" fillId="0" fontId="21" numFmtId="0" xfId="0" applyAlignment="1" applyBorder="1" applyFont="1">
      <alignment readingOrder="0"/>
    </xf>
    <xf borderId="1" fillId="14" fontId="21" numFmtId="0" xfId="0" applyBorder="1" applyFont="1"/>
    <xf borderId="1" fillId="12" fontId="62" numFmtId="0" xfId="0" applyAlignment="1" applyBorder="1" applyFont="1">
      <alignment horizontal="center" readingOrder="0"/>
    </xf>
    <xf borderId="1" fillId="12" fontId="54" numFmtId="0" xfId="0" applyAlignment="1" applyBorder="1" applyFont="1">
      <alignment readingOrder="0"/>
    </xf>
    <xf borderId="1" fillId="12" fontId="54" numFmtId="0" xfId="0" applyBorder="1" applyFont="1"/>
    <xf borderId="1" fillId="0" fontId="54" numFmtId="0" xfId="0" applyBorder="1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1" numFmtId="0" xfId="0" applyAlignment="1" applyFont="1">
      <alignment horizontal="center"/>
    </xf>
    <xf borderId="0" fillId="0" fontId="21" numFmtId="171" xfId="0" applyAlignment="1" applyFont="1" applyNumberFormat="1">
      <alignment horizontal="center"/>
    </xf>
    <xf borderId="0" fillId="0" fontId="21" numFmtId="3" xfId="0" applyAlignment="1" applyFont="1" applyNumberFormat="1">
      <alignment horizontal="center"/>
    </xf>
    <xf borderId="0" fillId="0" fontId="21" numFmtId="170" xfId="0" applyAlignment="1" applyFont="1" applyNumberFormat="1">
      <alignment horizontal="center"/>
    </xf>
    <xf borderId="0" fillId="0" fontId="21" numFmtId="0" xfId="0" applyAlignment="1" applyFont="1">
      <alignment horizontal="left"/>
    </xf>
    <xf borderId="0" fillId="0" fontId="24" numFmtId="0" xfId="0" applyAlignment="1" applyFont="1">
      <alignment horizontal="left"/>
    </xf>
    <xf borderId="0" fillId="0" fontId="66" numFmtId="0" xfId="0" applyAlignment="1" applyFont="1">
      <alignment horizontal="center"/>
    </xf>
    <xf borderId="0" fillId="23" fontId="21" numFmtId="0" xfId="0" applyAlignment="1" applyFont="1">
      <alignment horizontal="left"/>
    </xf>
    <xf borderId="0" fillId="23" fontId="21" numFmtId="0" xfId="0" applyAlignment="1" applyFont="1">
      <alignment horizontal="center"/>
    </xf>
    <xf borderId="0" fillId="23" fontId="29" numFmtId="0" xfId="0" applyAlignment="1" applyFont="1">
      <alignment horizontal="center"/>
    </xf>
    <xf borderId="0" fillId="23" fontId="21" numFmtId="171" xfId="0" applyAlignment="1" applyFont="1" applyNumberFormat="1">
      <alignment horizontal="center"/>
    </xf>
    <xf borderId="0" fillId="0" fontId="29" numFmtId="172" xfId="0" applyAlignment="1" applyFont="1" applyNumberFormat="1">
      <alignment horizontal="center"/>
    </xf>
    <xf borderId="0" fillId="0" fontId="62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0" fillId="0" fontId="67" numFmtId="0" xfId="0" applyAlignment="1" applyFont="1">
      <alignment horizontal="left" shrinkToFit="0" vertical="bottom" wrapText="0"/>
    </xf>
    <xf borderId="0" fillId="0" fontId="1" numFmtId="171" xfId="0" applyAlignment="1" applyFont="1" applyNumberFormat="1">
      <alignment horizontal="center"/>
    </xf>
    <xf borderId="0" fillId="0" fontId="3" numFmtId="0" xfId="0" applyAlignment="1" applyFont="1">
      <alignment horizontal="left" shrinkToFit="0" vertical="bottom" wrapText="0"/>
    </xf>
    <xf borderId="0" fillId="0" fontId="67" numFmtId="171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171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readingOrder="0"/>
    </xf>
    <xf borderId="1" fillId="0" fontId="26" numFmtId="0" xfId="0" applyAlignment="1" applyBorder="1" applyFont="1">
      <alignment horizontal="center" readingOrder="0"/>
    </xf>
    <xf borderId="1" fillId="0" fontId="68" numFmtId="0" xfId="0" applyAlignment="1" applyBorder="1" applyFont="1">
      <alignment horizontal="center" readingOrder="0"/>
    </xf>
    <xf borderId="1" fillId="0" fontId="6" numFmtId="171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0" fontId="69" numFmtId="0" xfId="0" applyAlignment="1" applyBorder="1" applyFont="1">
      <alignment horizontal="center" readingOrder="0"/>
    </xf>
    <xf borderId="1" fillId="0" fontId="29" numFmtId="0" xfId="0" applyAlignment="1" applyBorder="1" applyFont="1">
      <alignment horizontal="center" readingOrder="0" vertical="center"/>
    </xf>
    <xf borderId="1" fillId="0" fontId="68" numFmtId="3" xfId="0" applyAlignment="1" applyBorder="1" applyFont="1" applyNumberFormat="1">
      <alignment horizontal="center" readingOrder="0"/>
    </xf>
    <xf borderId="1" fillId="0" fontId="3" numFmtId="3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vertical="center"/>
    </xf>
    <xf borderId="1" fillId="0" fontId="6" numFmtId="3" xfId="0" applyAlignment="1" applyBorder="1" applyFont="1" applyNumberFormat="1">
      <alignment horizontal="center" readingOrder="0" vertical="center"/>
    </xf>
    <xf borderId="1" fillId="0" fontId="70" numFmtId="3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7" fontId="38" numFmtId="0" xfId="0" applyAlignment="1" applyBorder="1" applyFont="1">
      <alignment horizontal="center" readingOrder="0" vertical="center"/>
    </xf>
    <xf borderId="0" fillId="0" fontId="3" numFmtId="3" xfId="0" applyAlignment="1" applyFont="1" applyNumberFormat="1">
      <alignment readingOrder="0" shrinkToFit="0" vertical="bottom" wrapText="0"/>
    </xf>
    <xf borderId="1" fillId="0" fontId="17" numFmtId="3" xfId="0" applyAlignment="1" applyBorder="1" applyFont="1" applyNumberFormat="1">
      <alignment horizontal="center" readingOrder="0" shrinkToFit="0" vertical="center" wrapText="0"/>
    </xf>
    <xf borderId="1" fillId="0" fontId="24" numFmtId="3" xfId="0" applyAlignment="1" applyBorder="1" applyFont="1" applyNumberFormat="1">
      <alignment horizontal="center" readingOrder="0" shrinkToFit="0" vertical="center" wrapText="0"/>
    </xf>
    <xf borderId="0" fillId="25" fontId="2" numFmtId="0" xfId="0" applyAlignment="1" applyFill="1" applyFont="1">
      <alignment horizontal="center" readingOrder="0" shrinkToFit="0" vertical="center" wrapText="0"/>
    </xf>
    <xf borderId="0" fillId="25" fontId="17" numFmtId="3" xfId="0" applyAlignment="1" applyFont="1" applyNumberFormat="1">
      <alignment horizontal="center" readingOrder="0" shrinkToFit="0" vertical="center" wrapText="0"/>
    </xf>
    <xf borderId="0" fillId="25" fontId="24" numFmtId="3" xfId="0" applyAlignment="1" applyFont="1" applyNumberFormat="1">
      <alignment horizontal="center" readingOrder="0" shrinkToFit="0" vertical="center" wrapText="0"/>
    </xf>
    <xf borderId="0" fillId="25" fontId="3" numFmtId="3" xfId="0" applyAlignment="1" applyFont="1" applyNumberFormat="1">
      <alignment horizontal="center" readingOrder="0" shrinkToFit="0" vertical="center" wrapText="0"/>
    </xf>
    <xf borderId="0" fillId="25" fontId="3" numFmtId="3" xfId="0" applyAlignment="1" applyFont="1" applyNumberFormat="1">
      <alignment horizontal="right" readingOrder="0" shrinkToFit="0" vertical="bottom" wrapText="0"/>
    </xf>
    <xf borderId="0" fillId="25" fontId="71" numFmtId="3" xfId="0" applyAlignment="1" applyFont="1" applyNumberFormat="1">
      <alignment horizontal="center" readingOrder="0" shrinkToFit="0" vertical="center" wrapText="0"/>
    </xf>
    <xf borderId="0" fillId="25" fontId="1" numFmtId="3" xfId="0" applyAlignment="1" applyFont="1" applyNumberFormat="1">
      <alignment horizontal="center" readingOrder="0" shrinkToFit="0" vertical="center" wrapText="0"/>
    </xf>
    <xf borderId="0" fillId="25" fontId="3" numFmtId="3" xfId="0" applyAlignment="1" applyFont="1" applyNumberFormat="1">
      <alignment readingOrder="0" shrinkToFit="0" vertical="bottom" wrapText="0"/>
    </xf>
    <xf borderId="0" fillId="25" fontId="6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17" numFmtId="3" xfId="0" applyAlignment="1" applyFont="1" applyNumberFormat="1">
      <alignment horizontal="center" readingOrder="0" shrinkToFit="0" vertical="center" wrapText="0"/>
    </xf>
    <xf borderId="0" fillId="0" fontId="24" numFmtId="3" xfId="0" applyAlignment="1" applyFont="1" applyNumberFormat="1">
      <alignment horizontal="center" readingOrder="0" shrinkToFit="0" vertical="center" wrapText="0"/>
    </xf>
    <xf borderId="0" fillId="0" fontId="3" numFmtId="3" xfId="0" applyAlignment="1" applyFont="1" applyNumberForma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71" numFmtId="3" xfId="0" applyAlignment="1" applyFont="1" applyNumberFormat="1">
      <alignment horizontal="center" readingOrder="0" shrinkToFit="0" vertical="center" wrapText="0"/>
    </xf>
    <xf borderId="0" fillId="0" fontId="4" numFmtId="173" xfId="0" applyAlignment="1" applyFont="1" applyNumberFormat="1">
      <alignment horizontal="center" readingOrder="0" shrinkToFit="0" vertical="center" wrapText="0"/>
    </xf>
    <xf borderId="0" fillId="25" fontId="4" numFmtId="0" xfId="0" applyAlignment="1" applyFont="1">
      <alignment horizontal="center" readingOrder="0" shrinkToFit="0" vertical="center" wrapText="0"/>
    </xf>
    <xf borderId="10" fillId="0" fontId="2" numFmtId="0" xfId="0" applyAlignment="1" applyBorder="1" applyFont="1">
      <alignment horizontal="center"/>
    </xf>
    <xf borderId="0" fillId="0" fontId="72" numFmtId="0" xfId="0" applyFont="1"/>
    <xf borderId="0" fillId="0" fontId="15" numFmtId="0" xfId="0" applyFont="1"/>
    <xf borderId="0" fillId="0" fontId="15" numFmtId="0" xfId="0" applyAlignment="1" applyFont="1">
      <alignment horizontal="center"/>
    </xf>
    <xf borderId="0" fillId="0" fontId="73" numFmtId="0" xfId="0" applyAlignment="1" applyFont="1">
      <alignment horizontal="center"/>
    </xf>
    <xf borderId="1" fillId="14" fontId="74" numFmtId="0" xfId="0" applyAlignment="1" applyBorder="1" applyFont="1">
      <alignment horizontal="center" shrinkToFit="0" vertical="bottom" wrapText="0"/>
    </xf>
    <xf borderId="4" fillId="14" fontId="74" numFmtId="0" xfId="0" applyAlignment="1" applyBorder="1" applyFont="1">
      <alignment horizontal="center" shrinkToFit="0" vertical="bottom" wrapText="0"/>
    </xf>
    <xf borderId="1" fillId="14" fontId="75" numFmtId="0" xfId="0" applyAlignment="1" applyBorder="1" applyFont="1">
      <alignment horizontal="center"/>
    </xf>
    <xf borderId="9" fillId="25" fontId="74" numFmtId="0" xfId="0" applyAlignment="1" applyBorder="1" applyFont="1">
      <alignment horizontal="left" shrinkToFit="0" vertical="bottom" wrapText="0"/>
    </xf>
    <xf borderId="8" fillId="25" fontId="3" numFmtId="0" xfId="0" applyAlignment="1" applyBorder="1" applyFont="1">
      <alignment horizontal="left" shrinkToFit="0" vertical="bottom" wrapText="0"/>
    </xf>
    <xf borderId="1" fillId="25" fontId="3" numFmtId="0" xfId="0" applyAlignment="1" applyBorder="1" applyFont="1">
      <alignment horizontal="center" shrinkToFit="0" vertical="bottom" wrapText="0"/>
    </xf>
    <xf borderId="8" fillId="25" fontId="3" numFmtId="0" xfId="0" applyAlignment="1" applyBorder="1" applyFont="1">
      <alignment horizontal="center" shrinkToFit="0" vertical="bottom" wrapText="0"/>
    </xf>
    <xf borderId="8" fillId="25" fontId="3" numFmtId="164" xfId="0" applyAlignment="1" applyBorder="1" applyFont="1" applyNumberFormat="1">
      <alignment horizontal="center" shrinkToFit="0" vertical="bottom" wrapText="0"/>
    </xf>
    <xf borderId="1" fillId="25" fontId="76" numFmtId="0" xfId="0" applyBorder="1" applyFont="1"/>
    <xf borderId="0" fillId="25" fontId="77" numFmtId="0" xfId="0" applyFont="1"/>
    <xf borderId="9" fillId="25" fontId="74" numFmtId="0" xfId="0" applyAlignment="1" applyBorder="1" applyFont="1">
      <alignment shrinkToFit="0" vertical="bottom" wrapText="0"/>
    </xf>
    <xf borderId="9" fillId="25" fontId="3" numFmtId="0" xfId="0" applyAlignment="1" applyBorder="1" applyFont="1">
      <alignment horizontal="center" shrinkToFit="0" vertical="bottom" wrapText="0"/>
    </xf>
    <xf borderId="1" fillId="25" fontId="21" numFmtId="0" xfId="0" applyBorder="1" applyFont="1"/>
    <xf borderId="8" fillId="25" fontId="3" numFmtId="167" xfId="0" applyAlignment="1" applyBorder="1" applyFont="1" applyNumberFormat="1">
      <alignment horizontal="center" shrinkToFit="0" vertical="bottom" wrapText="0"/>
    </xf>
    <xf borderId="8" fillId="25" fontId="3" numFmtId="0" xfId="0" applyAlignment="1" applyBorder="1" applyFont="1">
      <alignment shrinkToFit="0" vertical="bottom" wrapText="0"/>
    </xf>
    <xf borderId="0" fillId="25" fontId="21" numFmtId="0" xfId="0" applyAlignment="1" applyFont="1">
      <alignment horizontal="center"/>
    </xf>
    <xf borderId="8" fillId="25" fontId="3" numFmtId="0" xfId="0" applyAlignment="1" applyBorder="1" applyFont="1">
      <alignment horizontal="center" shrinkToFit="0" wrapText="0"/>
    </xf>
    <xf borderId="9" fillId="4" fontId="74" numFmtId="0" xfId="0" applyAlignment="1" applyBorder="1" applyFont="1">
      <alignment shrinkToFit="0" vertical="bottom" wrapText="0"/>
    </xf>
    <xf borderId="8" fillId="4" fontId="3" numFmtId="0" xfId="0" applyAlignment="1" applyBorder="1" applyFont="1">
      <alignment shrinkToFit="0" vertical="bottom" wrapText="0"/>
    </xf>
    <xf borderId="0" fillId="4" fontId="1" numFmtId="0" xfId="0" applyAlignment="1" applyFont="1">
      <alignment horizontal="center"/>
    </xf>
    <xf borderId="8" fillId="4" fontId="3" numFmtId="0" xfId="0" applyAlignment="1" applyBorder="1" applyFont="1">
      <alignment horizontal="center" shrinkToFit="0" vertical="bottom" wrapText="0"/>
    </xf>
    <xf borderId="8" fillId="4" fontId="3" numFmtId="0" xfId="0" applyAlignment="1" applyBorder="1" applyFont="1">
      <alignment horizontal="center" shrinkToFit="0" wrapText="0"/>
    </xf>
    <xf borderId="8" fillId="4" fontId="3" numFmtId="167" xfId="0" applyAlignment="1" applyBorder="1" applyFont="1" applyNumberFormat="1">
      <alignment horizontal="center" shrinkToFit="0" vertical="bottom" wrapText="0"/>
    </xf>
    <xf borderId="1" fillId="4" fontId="21" numFmtId="0" xfId="0" applyBorder="1" applyFont="1"/>
    <xf borderId="0" fillId="4" fontId="77" numFmtId="0" xfId="0" applyFont="1"/>
    <xf borderId="8" fillId="25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shrinkToFit="0" vertical="bottom" wrapText="0"/>
    </xf>
    <xf borderId="8" fillId="4" fontId="3" numFmtId="0" xfId="0" applyAlignment="1" applyBorder="1" applyFont="1">
      <alignment horizontal="center" vertical="bottom"/>
    </xf>
    <xf borderId="0" fillId="4" fontId="78" numFmtId="0" xfId="0" applyFont="1"/>
    <xf borderId="9" fillId="4" fontId="79" numFmtId="0" xfId="0" applyAlignment="1" applyBorder="1" applyFont="1">
      <alignment shrinkToFit="0" vertical="bottom" wrapText="0"/>
    </xf>
    <xf borderId="5" fillId="25" fontId="21" numFmtId="0" xfId="0" applyAlignment="1" applyBorder="1" applyFont="1">
      <alignment horizontal="center"/>
    </xf>
    <xf borderId="8" fillId="25" fontId="1" numFmtId="0" xfId="0" applyAlignment="1" applyBorder="1" applyFont="1">
      <alignment horizontal="center" shrinkToFit="0" vertical="bottom" wrapText="0"/>
    </xf>
    <xf borderId="5" fillId="4" fontId="21" numFmtId="0" xfId="0" applyAlignment="1" applyBorder="1" applyFont="1">
      <alignment horizontal="center"/>
    </xf>
    <xf borderId="9" fillId="4" fontId="3" numFmtId="0" xfId="0" applyAlignment="1" applyBorder="1" applyFont="1">
      <alignment shrinkToFit="0" vertical="bottom" wrapText="0"/>
    </xf>
    <xf borderId="1" fillId="25" fontId="74" numFmtId="0" xfId="0" applyAlignment="1" applyBorder="1" applyFont="1">
      <alignment shrinkToFit="0" vertical="bottom" wrapText="0"/>
    </xf>
    <xf borderId="4" fillId="25" fontId="3" numFmtId="0" xfId="0" applyAlignment="1" applyBorder="1" applyFont="1">
      <alignment shrinkToFit="0" vertical="bottom" wrapText="0"/>
    </xf>
    <xf borderId="4" fillId="25" fontId="3" numFmtId="0" xfId="0" applyAlignment="1" applyBorder="1" applyFont="1">
      <alignment horizontal="center" shrinkToFit="0" vertical="bottom" wrapText="0"/>
    </xf>
    <xf borderId="4" fillId="25" fontId="3" numFmtId="0" xfId="0" applyAlignment="1" applyBorder="1" applyFont="1">
      <alignment horizontal="center" shrinkToFit="0" wrapText="0"/>
    </xf>
    <xf borderId="4" fillId="25" fontId="3" numFmtId="167" xfId="0" applyAlignment="1" applyBorder="1" applyFont="1" applyNumberFormat="1">
      <alignment horizontal="center" shrinkToFit="0" vertical="bottom" wrapText="0"/>
    </xf>
    <xf borderId="1" fillId="25" fontId="80" numFmtId="0" xfId="0" applyAlignment="1" applyBorder="1" applyFont="1">
      <alignment readingOrder="0"/>
    </xf>
    <xf borderId="1" fillId="4" fontId="74" numFmtId="0" xfId="0" applyAlignment="1" applyBorder="1" applyFont="1">
      <alignment shrinkToFit="0" vertical="bottom" wrapText="0"/>
    </xf>
    <xf borderId="4" fillId="4" fontId="3" numFmtId="0" xfId="0" applyAlignment="1" applyBorder="1" applyFont="1">
      <alignment shrinkToFit="0" vertical="bottom" wrapText="0"/>
    </xf>
    <xf borderId="4" fillId="4" fontId="3" numFmtId="0" xfId="0" applyAlignment="1" applyBorder="1" applyFont="1">
      <alignment horizontal="center" shrinkToFit="0" vertical="bottom" wrapText="0"/>
    </xf>
    <xf borderId="4" fillId="4" fontId="3" numFmtId="0" xfId="0" applyAlignment="1" applyBorder="1" applyFont="1">
      <alignment horizontal="center" shrinkToFit="0" wrapText="0"/>
    </xf>
    <xf borderId="4" fillId="4" fontId="3" numFmtId="167" xfId="0" applyAlignment="1" applyBorder="1" applyFont="1" applyNumberFormat="1">
      <alignment horizontal="center" shrinkToFit="0" vertical="bottom" wrapText="0"/>
    </xf>
    <xf borderId="0" fillId="25" fontId="1" numFmtId="0" xfId="0" applyAlignment="1" applyFont="1">
      <alignment horizontal="center"/>
    </xf>
    <xf borderId="5" fillId="25" fontId="1" numFmtId="0" xfId="0" applyAlignment="1" applyBorder="1" applyFont="1">
      <alignment horizontal="center"/>
    </xf>
    <xf borderId="5" fillId="25" fontId="81" numFmtId="0" xfId="0" applyAlignment="1" applyBorder="1" applyFont="1">
      <alignment horizontal="left"/>
    </xf>
    <xf borderId="1" fillId="25" fontId="21" numFmtId="167" xfId="0" applyAlignment="1" applyBorder="1" applyFont="1" applyNumberFormat="1">
      <alignment horizontal="center"/>
    </xf>
    <xf borderId="9" fillId="26" fontId="74" numFmtId="0" xfId="0" applyAlignment="1" applyBorder="1" applyFill="1" applyFont="1">
      <alignment shrinkToFit="0" vertical="bottom" wrapText="0"/>
    </xf>
    <xf borderId="8" fillId="26" fontId="3" numFmtId="0" xfId="0" applyAlignment="1" applyBorder="1" applyFont="1">
      <alignment shrinkToFit="0" vertical="bottom" wrapText="0"/>
    </xf>
    <xf borderId="5" fillId="26" fontId="21" numFmtId="0" xfId="0" applyAlignment="1" applyBorder="1" applyFont="1">
      <alignment horizontal="center"/>
    </xf>
    <xf borderId="8" fillId="26" fontId="3" numFmtId="0" xfId="0" applyAlignment="1" applyBorder="1" applyFont="1">
      <alignment horizontal="center" shrinkToFit="0" vertical="bottom" wrapText="0"/>
    </xf>
    <xf borderId="8" fillId="4" fontId="3" numFmtId="164" xfId="0" applyAlignment="1" applyBorder="1" applyFont="1" applyNumberFormat="1">
      <alignment horizontal="center" shrinkToFit="0" wrapText="0"/>
    </xf>
    <xf borderId="1" fillId="25" fontId="3" numFmtId="0" xfId="0" applyAlignment="1" applyBorder="1" applyFont="1">
      <alignment shrinkToFit="0" vertical="bottom" wrapText="0"/>
    </xf>
    <xf borderId="1" fillId="25" fontId="3" numFmtId="0" xfId="0" applyAlignment="1" applyBorder="1" applyFont="1">
      <alignment horizontal="center" shrinkToFit="0" wrapText="0"/>
    </xf>
    <xf borderId="1" fillId="25" fontId="21" numFmtId="164" xfId="0" applyAlignment="1" applyBorder="1" applyFont="1" applyNumberFormat="1">
      <alignment horizontal="center"/>
    </xf>
    <xf borderId="1" fillId="25" fontId="74" numFmtId="0" xfId="0" applyBorder="1" applyFont="1"/>
    <xf borderId="1" fillId="25" fontId="3" numFmtId="0" xfId="0" applyBorder="1" applyFont="1"/>
    <xf borderId="1" fillId="25" fontId="3" numFmtId="0" xfId="0" applyAlignment="1" applyBorder="1" applyFont="1">
      <alignment horizontal="center"/>
    </xf>
    <xf borderId="1" fillId="25" fontId="3" numFmtId="0" xfId="0" applyAlignment="1" applyBorder="1" applyFont="1">
      <alignment horizontal="center" vertical="bottom"/>
    </xf>
    <xf borderId="1" fillId="25" fontId="21" numFmtId="0" xfId="0" applyAlignment="1" applyBorder="1" applyFont="1">
      <alignment horizontal="center"/>
    </xf>
    <xf borderId="1" fillId="25" fontId="74" numFmtId="0" xfId="0" applyAlignment="1" applyBorder="1" applyFont="1">
      <alignment horizontal="left"/>
    </xf>
    <xf borderId="1" fillId="25" fontId="82" numFmtId="0" xfId="0" applyAlignment="1" applyBorder="1" applyFont="1">
      <alignment horizontal="left"/>
    </xf>
    <xf borderId="1" fillId="25" fontId="83" numFmtId="0" xfId="0" applyAlignment="1" applyBorder="1" applyFont="1">
      <alignment horizontal="left" vertical="bottom"/>
    </xf>
    <xf borderId="5" fillId="25" fontId="13" numFmtId="0" xfId="0" applyAlignment="1" applyBorder="1" applyFont="1">
      <alignment horizontal="center"/>
    </xf>
    <xf borderId="1" fillId="25" fontId="36" numFmtId="0" xfId="0" applyAlignment="1" applyBorder="1" applyFont="1">
      <alignment horizontal="center" vertical="bottom"/>
    </xf>
    <xf borderId="1" fillId="25" fontId="79" numFmtId="0" xfId="0" applyAlignment="1" applyBorder="1" applyFont="1">
      <alignment horizontal="left"/>
    </xf>
    <xf borderId="1" fillId="25" fontId="3" numFmtId="0" xfId="0" applyAlignment="1" applyBorder="1" applyFont="1">
      <alignment horizontal="left" vertical="bottom"/>
    </xf>
    <xf borderId="1" fillId="25" fontId="1" numFmtId="0" xfId="0" applyAlignment="1" applyBorder="1" applyFont="1">
      <alignment horizontal="center"/>
    </xf>
    <xf borderId="1" fillId="25" fontId="74" numFmtId="0" xfId="0" applyAlignment="1" applyBorder="1" applyFont="1">
      <alignment horizontal="left" shrinkToFit="0" vertical="bottom" wrapText="0"/>
    </xf>
    <xf borderId="1" fillId="25" fontId="75" numFmtId="0" xfId="0" applyAlignment="1" applyBorder="1" applyFont="1">
      <alignment horizontal="left"/>
    </xf>
    <xf borderId="1" fillId="25" fontId="84" numFmtId="0" xfId="0" applyBorder="1" applyFont="1"/>
    <xf borderId="1" fillId="0" fontId="74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21" numFmtId="167" xfId="0" applyAlignment="1" applyBorder="1" applyFont="1" applyNumberFormat="1">
      <alignment horizontal="center"/>
    </xf>
    <xf borderId="1" fillId="0" fontId="85" numFmtId="0" xfId="0" applyBorder="1" applyFont="1"/>
    <xf borderId="1" fillId="0" fontId="74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vertical="bottom"/>
    </xf>
    <xf borderId="1" fillId="4" fontId="86" numFmtId="0" xfId="0" applyBorder="1" applyFont="1"/>
    <xf borderId="1" fillId="4" fontId="3" numFmtId="0" xfId="0" applyAlignment="1" applyBorder="1" applyFont="1">
      <alignment shrinkToFit="0" vertical="bottom" wrapText="0"/>
    </xf>
    <xf borderId="1" fillId="4" fontId="87" numFmtId="0" xfId="0" applyAlignment="1" applyBorder="1" applyFont="1">
      <alignment horizontal="center"/>
    </xf>
    <xf borderId="1" fillId="4" fontId="21" numFmtId="167" xfId="0" applyAlignment="1" applyBorder="1" applyFont="1" applyNumberFormat="1">
      <alignment horizontal="center"/>
    </xf>
    <xf borderId="9" fillId="25" fontId="79" numFmtId="0" xfId="0" applyAlignment="1" applyBorder="1" applyFont="1">
      <alignment shrinkToFit="0" vertical="bottom" wrapText="0"/>
    </xf>
    <xf borderId="11" fillId="25" fontId="1" numFmtId="0" xfId="0" applyAlignment="1" applyBorder="1" applyFont="1">
      <alignment horizontal="center"/>
    </xf>
    <xf borderId="1" fillId="4" fontId="3" numFmtId="0" xfId="0" applyAlignment="1" applyBorder="1" applyFont="1">
      <alignment horizontal="left" vertical="bottom"/>
    </xf>
    <xf borderId="12" fillId="4" fontId="21" numFmtId="0" xfId="0" applyAlignment="1" applyBorder="1" applyFont="1">
      <alignment horizontal="center"/>
    </xf>
    <xf borderId="12" fillId="25" fontId="21" numFmtId="0" xfId="0" applyAlignment="1" applyBorder="1" applyFont="1">
      <alignment horizontal="center"/>
    </xf>
    <xf borderId="1" fillId="25" fontId="75" numFmtId="0" xfId="0" applyBorder="1" applyFont="1"/>
    <xf borderId="1" fillId="4" fontId="75" numFmtId="0" xfId="0" applyBorder="1" applyFont="1"/>
    <xf borderId="0" fillId="0" fontId="75" numFmtId="0" xfId="0" applyAlignment="1" applyFont="1">
      <alignment vertical="bottom"/>
    </xf>
    <xf borderId="1" fillId="0" fontId="21" numFmtId="0" xfId="0" applyAlignment="1" applyBorder="1" applyFont="1">
      <alignment horizontal="left" vertical="bottom"/>
    </xf>
    <xf borderId="1" fillId="0" fontId="21" numFmtId="0" xfId="0" applyAlignment="1" applyBorder="1" applyFont="1">
      <alignment horizontal="center" vertical="bottom"/>
    </xf>
    <xf borderId="1" fillId="25" fontId="50" numFmtId="0" xfId="0" applyAlignment="1" applyBorder="1" applyFont="1">
      <alignment vertical="bottom"/>
    </xf>
    <xf borderId="1" fillId="25" fontId="36" numFmtId="0" xfId="0" applyAlignment="1" applyBorder="1" applyFont="1">
      <alignment horizontal="left" vertical="bottom"/>
    </xf>
    <xf borderId="0" fillId="25" fontId="50" numFmtId="0" xfId="0" applyAlignment="1" applyFont="1">
      <alignment vertical="bottom"/>
    </xf>
    <xf borderId="1" fillId="25" fontId="21" numFmtId="165" xfId="0" applyAlignment="1" applyBorder="1" applyFont="1" applyNumberFormat="1">
      <alignment horizontal="center"/>
    </xf>
    <xf borderId="1" fillId="25" fontId="3" numFmtId="0" xfId="0" applyAlignment="1" applyBorder="1" applyFont="1">
      <alignment horizontal="left" shrinkToFit="0" vertical="bottom" wrapText="0"/>
    </xf>
    <xf borderId="1" fillId="0" fontId="75" numFmtId="0" xfId="0" applyAlignment="1" applyBorder="1" applyFont="1">
      <alignment horizontal="left"/>
    </xf>
    <xf borderId="1" fillId="0" fontId="3" numFmtId="0" xfId="0" applyAlignment="1" applyBorder="1" applyFont="1">
      <alignment horizontal="left" shrinkToFit="0" vertical="bottom" wrapText="0"/>
    </xf>
    <xf borderId="0" fillId="4" fontId="75" numFmtId="0" xfId="0" applyAlignment="1" applyFont="1">
      <alignment vertical="bottom"/>
    </xf>
    <xf borderId="1" fillId="4" fontId="21" numFmtId="0" xfId="0" applyAlignment="1" applyBorder="1" applyFont="1">
      <alignment horizontal="left" vertical="bottom"/>
    </xf>
    <xf borderId="5" fillId="4" fontId="1" numFmtId="0" xfId="0" applyAlignment="1" applyBorder="1" applyFont="1">
      <alignment horizontal="center"/>
    </xf>
    <xf borderId="1" fillId="4" fontId="75" numFmtId="0" xfId="0" applyAlignment="1" applyBorder="1" applyFont="1">
      <alignment vertical="bottom"/>
    </xf>
    <xf borderId="1" fillId="0" fontId="82" numFmtId="0" xfId="0" applyAlignment="1" applyBorder="1" applyFont="1">
      <alignment horizontal="left"/>
    </xf>
    <xf borderId="1" fillId="0" fontId="21" numFmtId="0" xfId="0" applyAlignment="1" applyBorder="1" applyFont="1">
      <alignment horizontal="left"/>
    </xf>
    <xf borderId="5" fillId="0" fontId="21" numFmtId="0" xfId="0" applyAlignment="1" applyBorder="1" applyFont="1">
      <alignment horizontal="center"/>
    </xf>
    <xf borderId="1" fillId="25" fontId="75" numFmtId="0" xfId="0" applyAlignment="1" applyBorder="1" applyFont="1">
      <alignment vertical="bottom"/>
    </xf>
    <xf borderId="1" fillId="25" fontId="21" numFmtId="0" xfId="0" applyAlignment="1" applyBorder="1" applyFont="1">
      <alignment horizontal="left" vertical="bottom"/>
    </xf>
    <xf borderId="1" fillId="4" fontId="21" numFmtId="0" xfId="0" applyAlignment="1" applyBorder="1" applyFont="1">
      <alignment horizontal="center" vertical="bottom"/>
    </xf>
    <xf borderId="1" fillId="4" fontId="21" numFmtId="165" xfId="0" applyAlignment="1" applyBorder="1" applyFont="1" applyNumberFormat="1">
      <alignment horizontal="center"/>
    </xf>
    <xf borderId="1" fillId="25" fontId="21" numFmtId="0" xfId="0" applyAlignment="1" applyBorder="1" applyFont="1">
      <alignment horizontal="center" vertical="bottom"/>
    </xf>
    <xf borderId="1" fillId="25" fontId="20" numFmtId="0" xfId="0" applyAlignment="1" applyBorder="1" applyFont="1">
      <alignment horizontal="center"/>
    </xf>
    <xf borderId="1" fillId="25" fontId="21" numFmtId="166" xfId="0" applyAlignment="1" applyBorder="1" applyFont="1" applyNumberFormat="1">
      <alignment horizontal="center"/>
    </xf>
    <xf borderId="0" fillId="25" fontId="21" numFmtId="0" xfId="0" applyAlignment="1" applyFont="1">
      <alignment horizontal="left" vertical="bottom"/>
    </xf>
    <xf borderId="1" fillId="0" fontId="75" numFmtId="0" xfId="0" applyAlignment="1" applyBorder="1" applyFont="1">
      <alignment vertical="bottom"/>
    </xf>
    <xf borderId="1" fillId="0" fontId="21" numFmtId="166" xfId="0" applyAlignment="1" applyBorder="1" applyFont="1" applyNumberFormat="1">
      <alignment horizontal="center"/>
    </xf>
    <xf borderId="1" fillId="25" fontId="79" numFmtId="0" xfId="0" applyBorder="1" applyFont="1"/>
    <xf borderId="1" fillId="25" fontId="1" numFmtId="0" xfId="0" applyBorder="1" applyFont="1"/>
    <xf borderId="1" fillId="25" fontId="31" numFmtId="0" xfId="0" applyAlignment="1" applyBorder="1" applyFont="1">
      <alignment horizontal="center"/>
    </xf>
    <xf borderId="1" fillId="0" fontId="75" numFmtId="0" xfId="0" applyBorder="1" applyFont="1"/>
    <xf borderId="1" fillId="4" fontId="79" numFmtId="0" xfId="0" applyBorder="1" applyFont="1"/>
    <xf borderId="1" fillId="4" fontId="1" numFmtId="0" xfId="0" applyAlignment="1" applyBorder="1" applyFont="1">
      <alignment horizontal="center"/>
    </xf>
    <xf borderId="1" fillId="25" fontId="79" numFmtId="0" xfId="0" applyAlignment="1" applyBorder="1" applyFont="1">
      <alignment horizontal="left" vertical="bottom"/>
    </xf>
    <xf borderId="1" fillId="25" fontId="1" numFmtId="0" xfId="0" applyAlignment="1" applyBorder="1" applyFont="1">
      <alignment horizontal="center" vertical="bottom"/>
    </xf>
    <xf borderId="0" fillId="25" fontId="88" numFmtId="0" xfId="0" applyFont="1"/>
    <xf borderId="0" fillId="0" fontId="75" numFmtId="0" xfId="0" applyAlignment="1" applyFont="1">
      <alignment horizontal="left"/>
    </xf>
    <xf borderId="0" fillId="0" fontId="21" numFmtId="167" xfId="0" applyAlignment="1" applyFont="1" applyNumberFormat="1">
      <alignment horizontal="center"/>
    </xf>
    <xf borderId="0" fillId="0" fontId="3" numFmtId="0" xfId="0" applyAlignment="1" applyFont="1">
      <alignment shrinkToFit="0" vertical="bottom" wrapText="0"/>
    </xf>
    <xf borderId="0" fillId="0" fontId="21" numFmtId="0" xfId="0" applyAlignment="1" applyFont="1">
      <alignment horizontal="left" vertical="bottom"/>
    </xf>
    <xf borderId="0" fillId="0" fontId="3" numFmtId="0" xfId="0" applyAlignment="1" applyFont="1">
      <alignment horizontal="center" shrinkToFit="0" wrapText="0"/>
    </xf>
    <xf borderId="0" fillId="27" fontId="89" numFmtId="0" xfId="0" applyAlignment="1" applyFill="1" applyFont="1">
      <alignment horizontal="center" vertical="bottom"/>
    </xf>
    <xf borderId="1" fillId="27" fontId="89" numFmtId="0" xfId="0" applyAlignment="1" applyBorder="1" applyFont="1">
      <alignment horizontal="center" vertical="bottom"/>
    </xf>
    <xf borderId="1" fillId="28" fontId="89" numFmtId="0" xfId="0" applyAlignment="1" applyBorder="1" applyFill="1" applyFont="1">
      <alignment horizontal="center" vertical="bottom"/>
    </xf>
    <xf borderId="1" fillId="0" fontId="54" numFmtId="0" xfId="0" applyAlignment="1" applyBorder="1" applyFont="1">
      <alignment vertical="bottom"/>
    </xf>
    <xf borderId="1" fillId="0" fontId="31" numFmtId="0" xfId="0" applyAlignment="1" applyBorder="1" applyFont="1">
      <alignment horizontal="center" vertical="bottom"/>
    </xf>
    <xf borderId="1" fillId="0" fontId="55" numFmtId="0" xfId="0" applyAlignment="1" applyBorder="1" applyFont="1">
      <alignment horizontal="left" vertical="bottom"/>
    </xf>
    <xf borderId="1" fillId="0" fontId="31" numFmtId="0" xfId="0" applyAlignment="1" applyBorder="1" applyFont="1">
      <alignment vertical="bottom"/>
    </xf>
    <xf borderId="1" fillId="7" fontId="31" numFmtId="0" xfId="0" applyAlignment="1" applyBorder="1" applyFont="1">
      <alignment horizontal="left" vertical="bottom"/>
    </xf>
    <xf borderId="0" fillId="0" fontId="90" numFmtId="0" xfId="0" applyFont="1"/>
    <xf borderId="1" fillId="0" fontId="57" numFmtId="0" xfId="0" applyAlignment="1" applyBorder="1" applyFont="1">
      <alignment vertical="bottom"/>
    </xf>
    <xf borderId="1" fillId="0" fontId="89" numFmtId="0" xfId="0" applyAlignment="1" applyBorder="1" applyFont="1">
      <alignment horizontal="left" vertical="bottom"/>
    </xf>
    <xf borderId="9" fillId="0" fontId="74" numFmtId="0" xfId="0" applyAlignment="1" applyBorder="1" applyFont="1">
      <alignment horizontal="left" shrinkToFit="0" vertical="bottom" wrapText="0"/>
    </xf>
    <xf borderId="8" fillId="0" fontId="3" numFmtId="0" xfId="0" applyAlignment="1" applyBorder="1" applyFont="1">
      <alignment horizontal="left" shrinkToFit="0" vertical="bottom" wrapText="0"/>
    </xf>
    <xf borderId="8" fillId="0" fontId="3" numFmtId="0" xfId="0" applyAlignment="1" applyBorder="1" applyFont="1">
      <alignment horizontal="center" shrinkToFit="0" vertical="bottom" wrapText="0"/>
    </xf>
    <xf borderId="8" fillId="0" fontId="3" numFmtId="164" xfId="0" applyAlignment="1" applyBorder="1" applyFont="1" applyNumberFormat="1">
      <alignment horizontal="center" shrinkToFit="0" vertical="bottom" wrapText="0"/>
    </xf>
    <xf borderId="0" fillId="7" fontId="77" numFmtId="0" xfId="0" applyFont="1"/>
    <xf borderId="9" fillId="0" fontId="74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horizontal="center" shrinkToFit="0" vertical="bottom" wrapText="0"/>
    </xf>
    <xf borderId="8" fillId="0" fontId="3" numFmtId="167" xfId="0" applyAlignment="1" applyBorder="1" applyFont="1" applyNumberFormat="1">
      <alignment horizontal="center" shrinkToFit="0" vertical="bottom" wrapText="0"/>
    </xf>
    <xf borderId="8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horizontal="center" shrinkToFit="0" wrapText="0"/>
    </xf>
    <xf borderId="8" fillId="0" fontId="3" numFmtId="0" xfId="0" applyAlignment="1" applyBorder="1" applyFont="1">
      <alignment vertical="bottom"/>
    </xf>
    <xf borderId="8" fillId="4" fontId="3" numFmtId="0" xfId="0" applyAlignment="1" applyBorder="1" applyFont="1">
      <alignment vertical="bottom"/>
    </xf>
    <xf borderId="8" fillId="0" fontId="1" numFmtId="0" xfId="0" applyAlignment="1" applyBorder="1" applyFont="1">
      <alignment shrinkToFit="0" vertical="bottom" wrapText="0"/>
    </xf>
    <xf borderId="8" fillId="24" fontId="3" numFmtId="167" xfId="0" applyAlignment="1" applyBorder="1" applyFont="1" applyNumberFormat="1">
      <alignment horizontal="center" shrinkToFit="0" vertical="bottom" wrapText="0"/>
    </xf>
    <xf borderId="0" fillId="4" fontId="21" numFmtId="0" xfId="0" applyFont="1"/>
    <xf borderId="4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shrinkToFit="0" wrapText="0"/>
    </xf>
    <xf borderId="4" fillId="0" fontId="3" numFmtId="167" xfId="0" applyAlignment="1" applyBorder="1" applyFont="1" applyNumberFormat="1">
      <alignment horizontal="center" shrinkToFit="0" vertical="bottom" wrapText="0"/>
    </xf>
    <xf borderId="0" fillId="4" fontId="91" numFmtId="0" xfId="0" applyFont="1"/>
    <xf borderId="0" fillId="4" fontId="3" numFmtId="0" xfId="0" applyFont="1"/>
    <xf borderId="1" fillId="7" fontId="74" numFmtId="0" xfId="0" applyAlignment="1" applyBorder="1" applyFont="1">
      <alignment shrinkToFit="0" vertical="bottom" wrapText="0"/>
    </xf>
    <xf borderId="4" fillId="7" fontId="3" numFmtId="0" xfId="0" applyAlignment="1" applyBorder="1" applyFont="1">
      <alignment shrinkToFit="0" vertical="bottom" wrapText="0"/>
    </xf>
    <xf borderId="4" fillId="7" fontId="3" numFmtId="0" xfId="0" applyAlignment="1" applyBorder="1" applyFont="1">
      <alignment horizontal="center" shrinkToFit="0" vertical="bottom" wrapText="0"/>
    </xf>
    <xf borderId="4" fillId="7" fontId="3" numFmtId="0" xfId="0" applyAlignment="1" applyBorder="1" applyFont="1">
      <alignment horizontal="center" shrinkToFit="0" wrapText="0"/>
    </xf>
    <xf borderId="4" fillId="7" fontId="3" numFmtId="167" xfId="0" applyAlignment="1" applyBorder="1" applyFont="1" applyNumberFormat="1">
      <alignment horizontal="center" shrinkToFit="0" vertical="bottom" wrapText="0"/>
    </xf>
    <xf borderId="1" fillId="7" fontId="21" numFmtId="0" xfId="0" applyBorder="1" applyFont="1"/>
    <xf borderId="8" fillId="29" fontId="3" numFmtId="167" xfId="0" applyAlignment="1" applyBorder="1" applyFill="1" applyFont="1" applyNumberFormat="1">
      <alignment horizontal="center" shrinkToFit="0" vertical="bottom" wrapText="0"/>
    </xf>
    <xf borderId="5" fillId="0" fontId="92" numFmtId="0" xfId="0" applyAlignment="1" applyBorder="1" applyFont="1">
      <alignment horizontal="center"/>
    </xf>
    <xf borderId="8" fillId="0" fontId="3" numFmtId="0" xfId="0" applyAlignment="1" applyBorder="1" applyFont="1">
      <alignment horizontal="left" vertical="bottom"/>
    </xf>
    <xf borderId="1" fillId="0" fontId="93" numFmtId="0" xfId="0" applyAlignment="1" applyBorder="1" applyFont="1">
      <alignment horizontal="center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wrapText="0"/>
    </xf>
    <xf borderId="1" fillId="0" fontId="3" numFmtId="167" xfId="0" applyAlignment="1" applyBorder="1" applyFont="1" applyNumberFormat="1">
      <alignment horizontal="center" shrinkToFit="0" vertical="bottom" wrapText="0"/>
    </xf>
    <xf borderId="1" fillId="7" fontId="74" numFmtId="0" xfId="0" applyBorder="1" applyFont="1"/>
    <xf borderId="1" fillId="7" fontId="3" numFmtId="0" xfId="0" applyBorder="1" applyFont="1"/>
    <xf borderId="1" fillId="0" fontId="94" numFmtId="0" xfId="0" applyAlignment="1" applyBorder="1" applyFont="1">
      <alignment vertical="bottom"/>
    </xf>
    <xf borderId="1" fillId="7" fontId="3" numFmtId="0" xfId="0" applyAlignment="1" applyBorder="1" applyFont="1">
      <alignment horizontal="left"/>
    </xf>
    <xf borderId="1" fillId="7" fontId="74" numFmtId="0" xfId="0" applyAlignment="1" applyBorder="1" applyFont="1">
      <alignment horizontal="left"/>
    </xf>
    <xf borderId="1" fillId="7" fontId="82" numFmtId="0" xfId="0" applyAlignment="1" applyBorder="1" applyFont="1">
      <alignment horizontal="left"/>
    </xf>
    <xf borderId="1" fillId="0" fontId="83" numFmtId="0" xfId="0" applyAlignment="1" applyBorder="1" applyFont="1">
      <alignment horizontal="left" vertical="bottom"/>
    </xf>
    <xf borderId="1" fillId="0" fontId="36" numFmtId="0" xfId="0" applyAlignment="1" applyBorder="1" applyFont="1">
      <alignment horizontal="center" vertical="bottom"/>
    </xf>
    <xf borderId="1" fillId="0" fontId="36" numFmtId="0" xfId="0" applyAlignment="1" applyBorder="1" applyFont="1">
      <alignment horizontal="left" vertical="bottom"/>
    </xf>
    <xf borderId="1" fillId="0" fontId="79" numFmtId="0" xfId="0" applyAlignment="1" applyBorder="1" applyFont="1">
      <alignment horizontal="left"/>
    </xf>
    <xf borderId="1" fillId="0" fontId="3" numFmtId="0" xfId="0" applyAlignment="1" applyBorder="1" applyFont="1">
      <alignment horizontal="left" vertical="bottom"/>
    </xf>
    <xf borderId="1" fillId="7" fontId="74" numFmtId="0" xfId="0" applyAlignment="1" applyBorder="1" applyFont="1">
      <alignment horizontal="left" shrinkToFit="0" vertical="bottom" wrapText="0"/>
    </xf>
    <xf borderId="1" fillId="10" fontId="3" numFmtId="0" xfId="0" applyAlignment="1" applyBorder="1" applyFont="1">
      <alignment horizontal="center" shrinkToFit="0" vertical="bottom" wrapText="0"/>
    </xf>
    <xf borderId="1" fillId="10" fontId="21" numFmtId="0" xfId="0" applyBorder="1" applyFont="1"/>
    <xf borderId="0" fillId="10" fontId="21" numFmtId="0" xfId="0" applyFont="1"/>
    <xf borderId="1" fillId="7" fontId="91" numFmtId="0" xfId="0" applyBorder="1" applyFont="1"/>
    <xf borderId="1" fillId="7" fontId="87" numFmtId="0" xfId="0" applyBorder="1" applyFont="1"/>
    <xf borderId="9" fillId="0" fontId="79" numFmtId="0" xfId="0" applyAlignment="1" applyBorder="1" applyFont="1">
      <alignment shrinkToFit="0" vertical="bottom" wrapText="0"/>
    </xf>
    <xf borderId="1" fillId="0" fontId="52" numFmtId="0" xfId="0" applyAlignment="1" applyBorder="1" applyFont="1">
      <alignment shrinkToFit="0" vertical="bottom" wrapText="0"/>
    </xf>
    <xf borderId="1" fillId="7" fontId="21" numFmtId="167" xfId="0" applyAlignment="1" applyBorder="1" applyFont="1" applyNumberFormat="1">
      <alignment horizontal="center"/>
    </xf>
    <xf borderId="5" fillId="0" fontId="75" numFmtId="0" xfId="0" applyAlignment="1" applyBorder="1" applyFont="1">
      <alignment horizontal="left"/>
    </xf>
    <xf borderId="1" fillId="7" fontId="21" numFmtId="165" xfId="0" applyAlignment="1" applyBorder="1" applyFont="1" applyNumberFormat="1">
      <alignment horizontal="center"/>
    </xf>
    <xf borderId="1" fillId="21" fontId="21" numFmtId="167" xfId="0" applyAlignment="1" applyBorder="1" applyFont="1" applyNumberFormat="1">
      <alignment horizontal="center"/>
    </xf>
    <xf borderId="0" fillId="21" fontId="21" numFmtId="0" xfId="0" applyFont="1"/>
    <xf borderId="5" fillId="0" fontId="1" numFmtId="0" xfId="0" applyAlignment="1" applyBorder="1" applyFont="1">
      <alignment horizontal="center"/>
    </xf>
    <xf borderId="5" fillId="0" fontId="21" numFmtId="0" xfId="0" applyAlignment="1" applyBorder="1" applyFont="1">
      <alignment horizontal="left"/>
    </xf>
    <xf borderId="1" fillId="21" fontId="21" numFmtId="165" xfId="0" applyAlignment="1" applyBorder="1" applyFont="1" applyNumberFormat="1">
      <alignment horizontal="center"/>
    </xf>
    <xf borderId="1" fillId="7" fontId="75" numFmtId="0" xfId="0" applyAlignment="1" applyBorder="1" applyFont="1">
      <alignment vertical="bottom"/>
    </xf>
    <xf borderId="1" fillId="0" fontId="49" numFmtId="0" xfId="0" applyAlignment="1" applyBorder="1" applyFont="1">
      <alignment vertical="bottom"/>
    </xf>
    <xf borderId="1" fillId="7" fontId="20" numFmtId="0" xfId="0" applyAlignment="1" applyBorder="1" applyFont="1">
      <alignment horizontal="center"/>
    </xf>
    <xf borderId="0" fillId="0" fontId="52" numFmtId="0" xfId="0" applyAlignment="1" applyFont="1">
      <alignment shrinkToFit="0" vertical="bottom" wrapText="0"/>
    </xf>
    <xf borderId="0" fillId="0" fontId="52" numFmtId="0" xfId="0" applyAlignment="1" applyFont="1">
      <alignment horizontal="left" shrinkToFit="0" vertical="bottom" wrapText="0"/>
    </xf>
    <xf borderId="0" fillId="0" fontId="57" numFmtId="0" xfId="0" applyAlignment="1" applyFont="1">
      <alignment horizontal="left" shrinkToFit="0" vertical="bottom" wrapText="0"/>
    </xf>
    <xf borderId="0" fillId="0" fontId="95" numFmtId="0" xfId="0" applyAlignment="1" applyFont="1">
      <alignment horizontal="left"/>
    </xf>
    <xf borderId="1" fillId="2" fontId="2" numFmtId="0" xfId="0" applyAlignment="1" applyBorder="1" applyFont="1">
      <alignment horizontal="center"/>
    </xf>
    <xf borderId="2" fillId="3" fontId="1" numFmtId="0" xfId="0" applyBorder="1" applyFont="1"/>
    <xf borderId="11" fillId="0" fontId="1" numFmtId="0" xfId="0" applyBorder="1" applyFont="1"/>
    <xf borderId="2" fillId="3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1" numFmtId="0" xfId="0" applyFont="1"/>
    <xf borderId="11" fillId="0" fontId="1" numFmtId="0" xfId="0" applyAlignment="1" applyBorder="1" applyFont="1">
      <alignment horizontal="center"/>
    </xf>
    <xf borderId="13" fillId="3" fontId="1" numFmtId="0" xfId="0" applyBorder="1" applyFont="1"/>
    <xf borderId="5" fillId="0" fontId="1" numFmtId="0" xfId="0" applyBorder="1" applyFont="1"/>
    <xf borderId="5" fillId="0" fontId="2" numFmtId="0" xfId="0" applyBorder="1" applyFont="1"/>
    <xf borderId="12" fillId="0" fontId="1" numFmtId="0" xfId="0" applyBorder="1" applyFont="1"/>
    <xf borderId="13" fillId="3" fontId="2" numFmtId="0" xfId="0" applyAlignment="1" applyBorder="1" applyFont="1">
      <alignment horizontal="center"/>
    </xf>
    <xf borderId="0" fillId="0" fontId="96" numFmtId="0" xfId="0" applyAlignment="1" applyFont="1">
      <alignment horizontal="center"/>
    </xf>
    <xf borderId="5" fillId="0" fontId="2" numFmtId="0" xfId="0" applyAlignment="1" applyBorder="1" applyFont="1">
      <alignment horizontal="center"/>
    </xf>
    <xf borderId="14" fillId="3" fontId="1" numFmtId="0" xfId="0" applyBorder="1" applyFont="1"/>
    <xf borderId="0" fillId="3" fontId="1" numFmtId="0" xfId="0" applyFont="1"/>
    <xf borderId="15" fillId="3" fontId="1" numFmtId="0" xfId="0" applyBorder="1" applyFont="1"/>
    <xf borderId="16" fillId="3" fontId="2" numFmtId="0" xfId="0" applyAlignment="1" applyBorder="1" applyFont="1">
      <alignment horizontal="center"/>
    </xf>
    <xf borderId="5" fillId="0" fontId="21" numFmtId="0" xfId="0" applyBorder="1" applyFont="1"/>
    <xf borderId="5" fillId="0" fontId="2" numFmtId="164" xfId="0" applyAlignment="1" applyBorder="1" applyFont="1" applyNumberFormat="1">
      <alignment horizontal="center"/>
    </xf>
    <xf borderId="5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17" fillId="3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shrinkToFit="0" vertical="center" wrapText="1"/>
    </xf>
    <xf borderId="6" fillId="0" fontId="43" numFmtId="0" xfId="0" applyBorder="1" applyFont="1"/>
    <xf borderId="2" fillId="5" fontId="43" numFmtId="0" xfId="0" applyBorder="1" applyFont="1"/>
    <xf borderId="6" fillId="0" fontId="1" numFmtId="0" xfId="0" applyBorder="1" applyFont="1"/>
    <xf borderId="8" fillId="0" fontId="1" numFmtId="0" xfId="0" applyBorder="1" applyFont="1"/>
    <xf borderId="2" fillId="5" fontId="1" numFmtId="0" xfId="0" applyBorder="1" applyFont="1"/>
    <xf borderId="5" fillId="6" fontId="1" numFmtId="0" xfId="0" applyAlignment="1" applyBorder="1" applyFont="1">
      <alignment horizontal="center"/>
    </xf>
    <xf borderId="15" fillId="3" fontId="2" numFmtId="0" xfId="0" applyAlignment="1" applyBorder="1" applyFont="1">
      <alignment horizontal="center"/>
    </xf>
    <xf borderId="8" fillId="0" fontId="97" numFmtId="0" xfId="0" applyBorder="1" applyFont="1"/>
    <xf borderId="18" fillId="0" fontId="1" numFmtId="0" xfId="0" applyBorder="1" applyFont="1"/>
    <xf borderId="6" fillId="0" fontId="1" numFmtId="0" xfId="0" applyAlignment="1" applyBorder="1" applyFont="1">
      <alignment horizontal="center"/>
    </xf>
    <xf borderId="0" fillId="0" fontId="2" numFmtId="165" xfId="0" applyAlignment="1" applyFont="1" applyNumberFormat="1">
      <alignment horizontal="center"/>
    </xf>
    <xf borderId="5" fillId="0" fontId="43" numFmtId="0" xfId="0" applyBorder="1" applyFont="1"/>
    <xf borderId="6" fillId="0" fontId="21" numFmtId="0" xfId="0" applyBorder="1" applyFont="1"/>
    <xf borderId="5" fillId="0" fontId="2" numFmtId="165" xfId="0" applyAlignment="1" applyBorder="1" applyFont="1" applyNumberFormat="1">
      <alignment horizontal="center"/>
    </xf>
    <xf borderId="0" fillId="5" fontId="21" numFmtId="0" xfId="0" applyFont="1"/>
    <xf borderId="17" fillId="5" fontId="1" numFmtId="0" xfId="0" applyBorder="1" applyFont="1"/>
    <xf borderId="14" fillId="3" fontId="2" numFmtId="0" xfId="0" applyAlignment="1" applyBorder="1" applyFont="1">
      <alignment horizontal="center"/>
    </xf>
    <xf borderId="5" fillId="3" fontId="8" numFmtId="0" xfId="0" applyAlignment="1" applyBorder="1" applyFont="1">
      <alignment horizontal="center"/>
    </xf>
    <xf borderId="5" fillId="0" fontId="8" numFmtId="165" xfId="0" applyAlignment="1" applyBorder="1" applyFont="1" applyNumberFormat="1">
      <alignment horizontal="center"/>
    </xf>
    <xf borderId="5" fillId="0" fontId="8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5" fillId="0" fontId="9" numFmtId="0" xfId="0" applyBorder="1" applyFont="1"/>
    <xf borderId="5" fillId="0" fontId="98" numFmtId="0" xfId="0" applyBorder="1" applyFont="1"/>
    <xf borderId="5" fillId="0" fontId="58" numFmtId="0" xfId="0" applyBorder="1" applyFont="1"/>
    <xf borderId="0" fillId="0" fontId="58" numFmtId="0" xfId="0" applyFont="1"/>
    <xf borderId="5" fillId="5" fontId="8" numFmtId="0" xfId="0" applyAlignment="1" applyBorder="1" applyFont="1">
      <alignment horizontal="center"/>
    </xf>
    <xf borderId="5" fillId="0" fontId="99" numFmtId="0" xfId="0" applyAlignment="1" applyBorder="1" applyFont="1">
      <alignment horizontal="center"/>
    </xf>
    <xf borderId="5" fillId="0" fontId="58" numFmtId="0" xfId="0" applyAlignment="1" applyBorder="1" applyFont="1">
      <alignment horizontal="center"/>
    </xf>
    <xf borderId="0" fillId="0" fontId="98" numFmtId="0" xfId="0" applyFont="1"/>
    <xf borderId="0" fillId="0" fontId="29" numFmtId="0" xfId="0" applyFont="1"/>
    <xf borderId="14" fillId="5" fontId="1" numFmtId="0" xfId="0" applyBorder="1" applyFont="1"/>
    <xf borderId="13" fillId="5" fontId="8" numFmtId="0" xfId="0" applyAlignment="1" applyBorder="1" applyFont="1">
      <alignment horizontal="center"/>
    </xf>
    <xf borderId="12" fillId="0" fontId="21" numFmtId="0" xfId="0" applyBorder="1" applyFont="1"/>
    <xf borderId="11" fillId="0" fontId="21" numFmtId="0" xfId="0" applyBorder="1" applyFont="1"/>
    <xf borderId="19" fillId="5" fontId="99" numFmtId="0" xfId="0" applyAlignment="1" applyBorder="1" applyFont="1">
      <alignment horizontal="center"/>
    </xf>
    <xf borderId="11" fillId="0" fontId="58" numFmtId="0" xfId="0" applyBorder="1" applyFont="1"/>
    <xf borderId="19" fillId="5" fontId="29" numFmtId="0" xfId="0" applyAlignment="1" applyBorder="1" applyFont="1">
      <alignment horizontal="center"/>
    </xf>
    <xf borderId="5" fillId="0" fontId="29" numFmtId="0" xfId="0" applyAlignment="1" applyBorder="1" applyFont="1">
      <alignment horizontal="center"/>
    </xf>
    <xf borderId="8" fillId="0" fontId="21" numFmtId="0" xfId="0" applyBorder="1" applyFont="1"/>
    <xf borderId="5" fillId="5" fontId="29" numFmtId="0" xfId="0" applyAlignment="1" applyBorder="1" applyFont="1">
      <alignment horizontal="center"/>
    </xf>
    <xf borderId="5" fillId="0" fontId="29" numFmtId="166" xfId="0" applyAlignment="1" applyBorder="1" applyFont="1" applyNumberFormat="1">
      <alignment horizontal="center"/>
    </xf>
    <xf borderId="0" fillId="5" fontId="29" numFmtId="0" xfId="0" applyAlignment="1" applyFont="1">
      <alignment horizontal="center"/>
    </xf>
    <xf borderId="6" fillId="5" fontId="21" numFmtId="0" xfId="0" applyBorder="1" applyFont="1"/>
    <xf borderId="0" fillId="0" fontId="29" numFmtId="165" xfId="0" applyAlignment="1" applyFont="1" applyNumberFormat="1">
      <alignment horizontal="center"/>
    </xf>
    <xf borderId="5" fillId="5" fontId="99" numFmtId="0" xfId="0" applyAlignment="1" applyBorder="1" applyFont="1">
      <alignment horizontal="center"/>
    </xf>
    <xf borderId="5" fillId="0" fontId="99" numFmtId="166" xfId="0" applyAlignment="1" applyBorder="1" applyFont="1" applyNumberFormat="1">
      <alignment horizontal="center"/>
    </xf>
    <xf borderId="5" fillId="0" fontId="29" numFmtId="165" xfId="0" applyAlignment="1" applyBorder="1" applyFont="1" applyNumberFormat="1">
      <alignment horizontal="center"/>
    </xf>
    <xf borderId="5" fillId="0" fontId="25" numFmtId="0" xfId="0" applyBorder="1" applyFont="1"/>
    <xf borderId="5" fillId="5" fontId="38" numFmtId="0" xfId="0" applyAlignment="1" applyBorder="1" applyFont="1">
      <alignment horizontal="center"/>
    </xf>
    <xf borderId="5" fillId="0" fontId="66" numFmtId="0" xfId="0" applyAlignment="1" applyBorder="1" applyFont="1">
      <alignment horizontal="center"/>
    </xf>
    <xf borderId="5" fillId="7" fontId="12" numFmtId="0" xfId="0" applyAlignment="1" applyBorder="1" applyFont="1">
      <alignment horizontal="center"/>
    </xf>
    <xf borderId="5" fillId="8" fontId="99" numFmtId="0" xfId="0" applyAlignment="1" applyBorder="1" applyFont="1">
      <alignment horizontal="center"/>
    </xf>
    <xf borderId="5" fillId="8" fontId="99" numFmtId="165" xfId="0" applyAlignment="1" applyBorder="1" applyFont="1" applyNumberFormat="1">
      <alignment horizontal="center"/>
    </xf>
    <xf borderId="5" fillId="8" fontId="58" numFmtId="0" xfId="0" applyBorder="1" applyFont="1"/>
    <xf borderId="5" fillId="8" fontId="58" numFmtId="0" xfId="0" applyAlignment="1" applyBorder="1" applyFont="1">
      <alignment horizontal="center"/>
    </xf>
    <xf borderId="5" fillId="7" fontId="13" numFmtId="0" xfId="0" applyAlignment="1" applyBorder="1" applyFont="1">
      <alignment horizontal="center"/>
    </xf>
    <xf borderId="5" fillId="0" fontId="36" numFmtId="0" xfId="0" applyAlignment="1" applyBorder="1" applyFont="1">
      <alignment horizontal="center"/>
    </xf>
    <xf borderId="0" fillId="3" fontId="21" numFmtId="0" xfId="0" applyFont="1"/>
    <xf borderId="5" fillId="3" fontId="29" numFmtId="0" xfId="0" applyAlignment="1" applyBorder="1" applyFont="1">
      <alignment horizontal="center"/>
    </xf>
    <xf borderId="5" fillId="7" fontId="15" numFmtId="0" xfId="0" applyAlignment="1" applyBorder="1" applyFont="1">
      <alignment horizontal="center"/>
    </xf>
    <xf borderId="0" fillId="7" fontId="16" numFmtId="0" xfId="0" applyAlignment="1" applyFont="1">
      <alignment horizontal="center"/>
    </xf>
    <xf borderId="5" fillId="7" fontId="17" numFmtId="0" xfId="0" applyAlignment="1" applyBorder="1" applyFont="1">
      <alignment horizontal="center"/>
    </xf>
    <xf borderId="0" fillId="5" fontId="21" numFmtId="0" xfId="0" applyAlignment="1" applyFont="1">
      <alignment horizontal="center"/>
    </xf>
    <xf borderId="5" fillId="6" fontId="2" numFmtId="0" xfId="0" applyAlignment="1" applyBorder="1" applyFont="1">
      <alignment horizontal="center"/>
    </xf>
    <xf borderId="5" fillId="7" fontId="100" numFmtId="0" xfId="0" applyAlignment="1" applyBorder="1" applyFont="1">
      <alignment horizontal="center"/>
    </xf>
    <xf borderId="5" fillId="7" fontId="20" numFmtId="0" xfId="0" applyAlignment="1" applyBorder="1" applyFont="1">
      <alignment horizontal="center"/>
    </xf>
    <xf borderId="5" fillId="0" fontId="31" numFmtId="0" xfId="0" applyAlignment="1" applyBorder="1" applyFont="1">
      <alignment horizontal="center"/>
    </xf>
    <xf borderId="6" fillId="0" fontId="21" numFmtId="0" xfId="0" applyAlignment="1" applyBorder="1" applyFont="1">
      <alignment horizontal="center"/>
    </xf>
    <xf borderId="5" fillId="4" fontId="29" numFmtId="0" xfId="0" applyAlignment="1" applyBorder="1" applyFont="1">
      <alignment horizontal="center"/>
    </xf>
    <xf borderId="5" fillId="0" fontId="25" numFmtId="0" xfId="0" applyAlignment="1" applyBorder="1" applyFont="1">
      <alignment horizontal="center"/>
    </xf>
    <xf borderId="5" fillId="7" fontId="38" numFmtId="0" xfId="0" applyAlignment="1" applyBorder="1" applyFont="1">
      <alignment horizontal="center"/>
    </xf>
    <xf borderId="0" fillId="7" fontId="3" numFmtId="0" xfId="0" applyAlignment="1" applyFont="1">
      <alignment horizontal="center"/>
    </xf>
    <xf borderId="5" fillId="0" fontId="23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es/search?bih=747&amp;biw=1536&amp;hl=es&amp;q=CALLITHRIX+GEOFFROYI&amp;spell=1&amp;sa=X&amp;ved=2ahUKEwj0ice9g9TqAhUM6OAKHYTsBpYQkeECKAB6BAgYECw" TargetMode="External"/><Relationship Id="rId2" Type="http://schemas.openxmlformats.org/officeDocument/2006/relationships/hyperlink" Target="https://www.google.es/search?bih=747&amp;biw=1536&amp;hl=es&amp;q=S.+HUMBOLDTI&amp;spell=1&amp;sa=X&amp;ved=2ahUKEwjTvqODhNTqAhUoA2MBHbPbDFkQkeECKAB6BAgXECw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sxbdnJwWNA4fNqp5DkHQG2__K6O4V540/view?usp=sharing" TargetMode="External"/><Relationship Id="rId42" Type="http://schemas.openxmlformats.org/officeDocument/2006/relationships/hyperlink" Target="https://drive.google.com/file/d/1Q49xYnBeg41W0aMetACjl4RDy-lsv-0P/view?usp=sharing" TargetMode="External"/><Relationship Id="rId41" Type="http://schemas.openxmlformats.org/officeDocument/2006/relationships/hyperlink" Target="https://drive.google.com/file/d/1woSr_0U-cIeHAgNiH8H-ibaVljcJVjlQ/view?usp=sharing" TargetMode="External"/><Relationship Id="rId44" Type="http://schemas.openxmlformats.org/officeDocument/2006/relationships/hyperlink" Target="https://drive.google.com/file/d/1Xs11d5Ls95EDvGGBKtkBmr75biUbfVMk/view?usp=sharing" TargetMode="External"/><Relationship Id="rId43" Type="http://schemas.openxmlformats.org/officeDocument/2006/relationships/hyperlink" Target="https://drive.google.com/file/d/1ht1_nbkCiB90cBzOmNmpqK7bdnj2jrCL/view?usp=sharing" TargetMode="External"/><Relationship Id="rId46" Type="http://schemas.openxmlformats.org/officeDocument/2006/relationships/hyperlink" Target="https://drive.google.com/file/d/1msaSK9ZrRdRGeWBarHwsTLHkbnDs_29x/view?usp=sharing" TargetMode="External"/><Relationship Id="rId45" Type="http://schemas.openxmlformats.org/officeDocument/2006/relationships/hyperlink" Target="https://drive.google.com/file/d/11QFCgJUixn3z1LLi4dsFsFDA0N903tpI/view?usp=sharing" TargetMode="External"/><Relationship Id="rId1" Type="http://schemas.openxmlformats.org/officeDocument/2006/relationships/hyperlink" Target="https://drive.google.com/drive/folders/1J00c6j0QouXfUt17ttL36pSIaFPKIeoj" TargetMode="External"/><Relationship Id="rId2" Type="http://schemas.openxmlformats.org/officeDocument/2006/relationships/hyperlink" Target="https://drive.google.com/drive/folders/1J00c6j0QouXfUt17ttL36pSIaFPKIeoj" TargetMode="External"/><Relationship Id="rId3" Type="http://schemas.openxmlformats.org/officeDocument/2006/relationships/hyperlink" Target="https://drive.google.com/drive/folders/1J00c6j0QouXfUt17ttL36pSIaFPKIeoj" TargetMode="External"/><Relationship Id="rId4" Type="http://schemas.openxmlformats.org/officeDocument/2006/relationships/hyperlink" Target="https://drive.google.com/drive/folders/1J00c6j0QouXfUt17ttL36pSIaFPKIeoj" TargetMode="External"/><Relationship Id="rId9" Type="http://schemas.openxmlformats.org/officeDocument/2006/relationships/hyperlink" Target="https://drive.google.com/file/d/1tnM_CH74YveOjnTAVQtqsvllqVzPsm5b/view?usp=sharing" TargetMode="External"/><Relationship Id="rId48" Type="http://schemas.openxmlformats.org/officeDocument/2006/relationships/hyperlink" Target="https://drive.google.com/file/d/1T8iOp38v6qwlecs6mCIoEEVKnuM2FDbk/view?usp=sharing" TargetMode="External"/><Relationship Id="rId47" Type="http://schemas.openxmlformats.org/officeDocument/2006/relationships/hyperlink" Target="https://drive.google.com/file/d/10-uUab0bZy13Y-koCIc39EMdIXQopYPC/view?usp=sharing" TargetMode="External"/><Relationship Id="rId49" Type="http://schemas.openxmlformats.org/officeDocument/2006/relationships/hyperlink" Target="https://drive.google.com/file/d/10S4-pm63N_1MmnYvf172YxlIX2t_sy46/view?usp=sharing" TargetMode="External"/><Relationship Id="rId5" Type="http://schemas.openxmlformats.org/officeDocument/2006/relationships/hyperlink" Target="https://drive.google.com/drive/folders/1J00c6j0QouXfUt17ttL36pSIaFPKIeoj" TargetMode="External"/><Relationship Id="rId6" Type="http://schemas.openxmlformats.org/officeDocument/2006/relationships/hyperlink" Target="https://drive.google.com/file/d/1YUhiq2itemW3Ygbq449AEReYPJ9tFYXc/view?usp=sharing" TargetMode="External"/><Relationship Id="rId7" Type="http://schemas.openxmlformats.org/officeDocument/2006/relationships/hyperlink" Target="https://drive.google.com/file/d/1MPzasOIDO7R6zdaYbfi2-_iWIya6Cqjv/view?usp=sharing" TargetMode="External"/><Relationship Id="rId8" Type="http://schemas.openxmlformats.org/officeDocument/2006/relationships/hyperlink" Target="https://drive.google.com/file/d/1k2M2EcJqZoykJ-V7JLYByCeT2GIPEllg/view?usp=sharing" TargetMode="External"/><Relationship Id="rId31" Type="http://schemas.openxmlformats.org/officeDocument/2006/relationships/hyperlink" Target="https://drive.google.com/file/d/1xCCP6OcngiXNT-PJAFwwHiLhGsezJU_R/view?usp=sharing" TargetMode="External"/><Relationship Id="rId30" Type="http://schemas.openxmlformats.org/officeDocument/2006/relationships/hyperlink" Target="https://drive.google.com/file/d/1XW82lzDTnM_PdSXjtqcsIDqfsycxW4L5/view?usp=sharing" TargetMode="External"/><Relationship Id="rId33" Type="http://schemas.openxmlformats.org/officeDocument/2006/relationships/hyperlink" Target="https://drive.google.com/file/d/1OEb0MJDV3pW73614LmT-h1kNgW1Wm_iV/view?usp=sharing" TargetMode="External"/><Relationship Id="rId32" Type="http://schemas.openxmlformats.org/officeDocument/2006/relationships/hyperlink" Target="https://drive.google.com/file/d/1_0ktolzrzlzPZ65DTuIOKbL5s7ZwLSfV/view?usp=sharing" TargetMode="External"/><Relationship Id="rId35" Type="http://schemas.openxmlformats.org/officeDocument/2006/relationships/hyperlink" Target="https://drive.google.com/file/d/1vPXuD3u_P4yFmzix08tfXyu2Tyo1Buoo/view?usp=sharing" TargetMode="External"/><Relationship Id="rId34" Type="http://schemas.openxmlformats.org/officeDocument/2006/relationships/hyperlink" Target="https://drive.google.com/file/d/1dMWNPJFIQd9GzV7g0r7cFMenRfVEQb8C/view?usp=sharing" TargetMode="External"/><Relationship Id="rId37" Type="http://schemas.openxmlformats.org/officeDocument/2006/relationships/hyperlink" Target="https://drive.google.com/file/d/1sd95Fd7O335DB-_zCO1zeWseZJy_8h3a/view?usp=sharing" TargetMode="External"/><Relationship Id="rId36" Type="http://schemas.openxmlformats.org/officeDocument/2006/relationships/hyperlink" Target="https://drive.google.com/file/d/1hdoGXjSTJeWWxTTrFNXLZ8d4n3HS3vnK/view?usp=sharing" TargetMode="External"/><Relationship Id="rId39" Type="http://schemas.openxmlformats.org/officeDocument/2006/relationships/hyperlink" Target="https://drive.google.com/file/d/1P0B42r_DLnqHgakgJ2w4NjmiIEhcjLaE/view?usp=sharing" TargetMode="External"/><Relationship Id="rId38" Type="http://schemas.openxmlformats.org/officeDocument/2006/relationships/hyperlink" Target="https://drive.google.com/file/d/1VUHl8lOpqb98SqkAC85KA8UxRZrEIa79/view?usp=sharing" TargetMode="External"/><Relationship Id="rId20" Type="http://schemas.openxmlformats.org/officeDocument/2006/relationships/hyperlink" Target="https://drive.google.com/file/d/1XW82lzDTnM_PdSXjtqcsIDqfsycxW4L5/view?usp=sharing" TargetMode="External"/><Relationship Id="rId22" Type="http://schemas.openxmlformats.org/officeDocument/2006/relationships/hyperlink" Target="https://drive.google.com/file/d/1ZoV_3QeFjftuPgsWNxQSEtKGU2-614b4/view?usp=sharing" TargetMode="External"/><Relationship Id="rId21" Type="http://schemas.openxmlformats.org/officeDocument/2006/relationships/hyperlink" Target="https://drive.google.com/file/d/19ja43o_ogocYBiFghE_5NXglAq05KU2_/view?usp=sharing" TargetMode="External"/><Relationship Id="rId24" Type="http://schemas.openxmlformats.org/officeDocument/2006/relationships/hyperlink" Target="https://drive.google.com/file/d/1zWUMSqBeEnIMvUwu9rMIy8XODaLzdh0f/view?usp=sharing" TargetMode="External"/><Relationship Id="rId23" Type="http://schemas.openxmlformats.org/officeDocument/2006/relationships/hyperlink" Target="https://drive.google.com/file/d/10elhRfNrDwMac4iYLoVtXnoJSFEdTQ-K/view?usp=sharing" TargetMode="External"/><Relationship Id="rId26" Type="http://schemas.openxmlformats.org/officeDocument/2006/relationships/hyperlink" Target="https://drive.google.com/file/d/1su9uKaBBhxPgSJ4rUeWiBzxkS2_rOoU-/view?usp=sharing" TargetMode="External"/><Relationship Id="rId25" Type="http://schemas.openxmlformats.org/officeDocument/2006/relationships/hyperlink" Target="https://drive.google.com/file/d/10P8wscDPIc_6G74TNH6mblw5ZP0GNHv_/view?usp=sharing" TargetMode="External"/><Relationship Id="rId28" Type="http://schemas.openxmlformats.org/officeDocument/2006/relationships/hyperlink" Target="https://drive.google.com/file/d/1BnP75yYLhaC5DraI8nH1XuT1zEbIGY74/view?usp=sharing" TargetMode="External"/><Relationship Id="rId27" Type="http://schemas.openxmlformats.org/officeDocument/2006/relationships/hyperlink" Target="https://drive.google.com/file/d/1o5hVAWtuR83X0NFQAxDQ7R_vE7Azgxul/view?usp=sharing" TargetMode="External"/><Relationship Id="rId29" Type="http://schemas.openxmlformats.org/officeDocument/2006/relationships/hyperlink" Target="https://drive.google.com/file/d/1aeq7JJo93sPhVEBRHlyIW1SXn_C5dwaL/view?usp=sharing" TargetMode="External"/><Relationship Id="rId51" Type="http://schemas.openxmlformats.org/officeDocument/2006/relationships/hyperlink" Target="https://drive.google.com/file/d/1nb6SFvgaCHIEZ7jyTbTOwOrqt6ZU_NjT/view?usp=sharing" TargetMode="External"/><Relationship Id="rId50" Type="http://schemas.openxmlformats.org/officeDocument/2006/relationships/hyperlink" Target="https://drive.google.com/file/d/1Y3jnVyb73ZMZwvq_FyhpJ9H5xbJqAm45/view?usp=sharing" TargetMode="External"/><Relationship Id="rId52" Type="http://schemas.openxmlformats.org/officeDocument/2006/relationships/drawing" Target="../drawings/drawing10.xml"/><Relationship Id="rId11" Type="http://schemas.openxmlformats.org/officeDocument/2006/relationships/hyperlink" Target="https://drive.google.com/file/d/1X8EsUUnk72QeNqPD7ykraQ-QB_H0DFXf/view?usp=sharing" TargetMode="External"/><Relationship Id="rId10" Type="http://schemas.openxmlformats.org/officeDocument/2006/relationships/hyperlink" Target="https://drive.google.com/file/d/1KthLkpA4V95cGyItJVnM248WmPZ5GPzK/view?usp=sharing" TargetMode="External"/><Relationship Id="rId13" Type="http://schemas.openxmlformats.org/officeDocument/2006/relationships/hyperlink" Target="https://drive.google.com/file/d/1nz10_5vYqUN3D9U_XBXT1L4H-dObIub4/view?usp=sharing" TargetMode="External"/><Relationship Id="rId12" Type="http://schemas.openxmlformats.org/officeDocument/2006/relationships/hyperlink" Target="https://drive.google.com/file/d/1RhI7vpKQsyfu2MZldQFfTfBgLSrNhuh6/view?usp=sharing" TargetMode="External"/><Relationship Id="rId15" Type="http://schemas.openxmlformats.org/officeDocument/2006/relationships/hyperlink" Target="https://drive.google.com/file/d/1p05Gxlj18jT3sMHCCspM6U2qiiEXWaUu/view?usp=sharing" TargetMode="External"/><Relationship Id="rId14" Type="http://schemas.openxmlformats.org/officeDocument/2006/relationships/hyperlink" Target="https://drive.google.com/file/d/1M9ChAP231oQV5Ov4oGE9Hz2QH3D6ppPW/view?usp=sharing" TargetMode="External"/><Relationship Id="rId17" Type="http://schemas.openxmlformats.org/officeDocument/2006/relationships/hyperlink" Target="https://drive.google.com/file/d/1HhCImtqXzCLrBLUFkawUDrv-VH7f-7Qp/view?usp=sharing" TargetMode="External"/><Relationship Id="rId16" Type="http://schemas.openxmlformats.org/officeDocument/2006/relationships/hyperlink" Target="https://drive.google.com/file/d/1xhvLfSECEOEJbW09EMDrGsELfwL5b7Ks/view?usp=sharing" TargetMode="External"/><Relationship Id="rId19" Type="http://schemas.openxmlformats.org/officeDocument/2006/relationships/hyperlink" Target="https://drive.google.com/file/d/1xCCP6OcngiXNT-PJAFwwHiLhGsezJU_R/view?usp=sharing" TargetMode="External"/><Relationship Id="rId18" Type="http://schemas.openxmlformats.org/officeDocument/2006/relationships/hyperlink" Target="https://drive.google.com/file/d/1dR08G02oRlHFXADJCr3_QjX3Uwr7ppBB/view?usp=sharing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cbi.nlm.nih.gov/pmc/articles/PMC3345260/" TargetMode="External"/><Relationship Id="rId2" Type="http://schemas.openxmlformats.org/officeDocument/2006/relationships/hyperlink" Target="https://pubmed.ncbi.nlm.nih.gov/21892153/" TargetMode="External"/><Relationship Id="rId3" Type="http://schemas.openxmlformats.org/officeDocument/2006/relationships/hyperlink" Target="https://www.sciencedirect.com/science/article/pii/S1873506114000105?via%3Dihub" TargetMode="External"/><Relationship Id="rId4" Type="http://schemas.openxmlformats.org/officeDocument/2006/relationships/hyperlink" Target="https://www.mdpi.com/2073-4409/9/6/1349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J00c6j0QouXfUt17ttL36pSIaFPKIeoj" TargetMode="External"/><Relationship Id="rId2" Type="http://schemas.openxmlformats.org/officeDocument/2006/relationships/hyperlink" Target="https://drive.google.com/drive/folders/1J00c6j0QouXfUt17ttL36pSIaFPKIeoj" TargetMode="External"/><Relationship Id="rId3" Type="http://schemas.openxmlformats.org/officeDocument/2006/relationships/hyperlink" Target="https://drive.google.com/drive/folders/1J00c6j0QouXfUt17ttL36pSIaFPKIeoj" TargetMode="External"/><Relationship Id="rId4" Type="http://schemas.openxmlformats.org/officeDocument/2006/relationships/hyperlink" Target="https://drive.google.com/drive/folders/1J00c6j0QouXfUt17ttL36pSIaFPKIeoj" TargetMode="External"/><Relationship Id="rId9" Type="http://schemas.openxmlformats.org/officeDocument/2006/relationships/hyperlink" Target="https://drive.google.com/file/d/1tnM_CH74YveOjnTAVQtqsvllqVzPsm5b/view?usp=sharing" TargetMode="External"/><Relationship Id="rId5" Type="http://schemas.openxmlformats.org/officeDocument/2006/relationships/hyperlink" Target="https://drive.google.com/drive/folders/1J00c6j0QouXfUt17ttL36pSIaFPKIeoj" TargetMode="External"/><Relationship Id="rId6" Type="http://schemas.openxmlformats.org/officeDocument/2006/relationships/hyperlink" Target="https://drive.google.com/file/d/1YUhiq2itemW3Ygbq449AEReYPJ9tFYXc/view?usp=sharing" TargetMode="External"/><Relationship Id="rId7" Type="http://schemas.openxmlformats.org/officeDocument/2006/relationships/hyperlink" Target="https://drive.google.com/file/d/1MPzasOIDO7R6zdaYbfi2-_iWIya6Cqjv/view?usp=sharing" TargetMode="External"/><Relationship Id="rId8" Type="http://schemas.openxmlformats.org/officeDocument/2006/relationships/hyperlink" Target="https://drive.google.com/file/d/1k2M2EcJqZoykJ-V7JLYByCeT2GIPEllg/view?usp=sharing" TargetMode="External"/><Relationship Id="rId11" Type="http://schemas.openxmlformats.org/officeDocument/2006/relationships/hyperlink" Target="https://drive.google.com/file/d/1X8EsUUnk72QeNqPD7ykraQ-QB_H0DFXf/view?usp=sharing" TargetMode="External"/><Relationship Id="rId10" Type="http://schemas.openxmlformats.org/officeDocument/2006/relationships/hyperlink" Target="https://drive.google.com/file/d/1KthLkpA4V95cGyItJVnM248WmPZ5GPzK/view?usp=sharing" TargetMode="External"/><Relationship Id="rId13" Type="http://schemas.openxmlformats.org/officeDocument/2006/relationships/hyperlink" Target="https://drive.google.com/file/d/1nz10_5vYqUN3D9U_XBXT1L4H-dObIub4/view?usp=sharing" TargetMode="External"/><Relationship Id="rId12" Type="http://schemas.openxmlformats.org/officeDocument/2006/relationships/hyperlink" Target="https://drive.google.com/file/d/1RhI7vpKQsyfu2MZldQFfTfBgLSrNhuh6/view?usp=sharing" TargetMode="External"/><Relationship Id="rId15" Type="http://schemas.openxmlformats.org/officeDocument/2006/relationships/hyperlink" Target="https://drive.google.com/file/d/1p05Gxlj18jT3sMHCCspM6U2qiiEXWaUu/view?usp=sharing" TargetMode="External"/><Relationship Id="rId14" Type="http://schemas.openxmlformats.org/officeDocument/2006/relationships/hyperlink" Target="https://drive.google.com/file/d/1M9ChAP231oQV5Ov4oGE9Hz2QH3D6ppPW/view?usp=sharing" TargetMode="External"/><Relationship Id="rId17" Type="http://schemas.openxmlformats.org/officeDocument/2006/relationships/hyperlink" Target="https://drive.google.com/file/d/1HhCImtqXzCLrBLUFkawUDrv-VH7f-7Qp/view?usp=sharing" TargetMode="External"/><Relationship Id="rId16" Type="http://schemas.openxmlformats.org/officeDocument/2006/relationships/hyperlink" Target="https://drive.google.com/file/d/1xhvLfSECEOEJbW09EMDrGsELfwL5b7Ks/view?usp=sharing" TargetMode="External"/><Relationship Id="rId19" Type="http://schemas.openxmlformats.org/officeDocument/2006/relationships/drawing" Target="../drawings/drawing12.xml"/><Relationship Id="rId18" Type="http://schemas.openxmlformats.org/officeDocument/2006/relationships/hyperlink" Target="https://drive.google.com/file/d/19ja43o_ogocYBiFghE_5NXglAq05KU2_/view?usp=sharing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43"/>
    <col customWidth="1" min="2" max="2" width="12.71"/>
    <col customWidth="1" min="3" max="3" width="39.71"/>
    <col customWidth="1" min="4" max="4" width="24.29"/>
    <col customWidth="1" min="5" max="5" width="35.29"/>
    <col customWidth="1" min="6" max="6" width="25.86"/>
    <col customWidth="1" min="7" max="7" width="35.57"/>
    <col customWidth="1" min="8" max="8" width="67.0"/>
    <col customWidth="1" min="9" max="9" width="15.29"/>
    <col customWidth="1" min="10" max="10" width="48.43"/>
    <col customWidth="1" min="11" max="11" width="35.71"/>
    <col customWidth="1" min="12" max="12" width="27.86"/>
    <col customWidth="1" min="13" max="13" width="19.57"/>
    <col customWidth="1" min="14" max="14" width="22.57"/>
    <col customWidth="1" min="15" max="15" width="9.14"/>
    <col customWidth="1" min="16" max="16" width="13.43"/>
    <col customWidth="1" min="17" max="17" width="32.14"/>
    <col customWidth="1" min="18" max="29" width="10.71"/>
  </cols>
  <sheetData>
    <row r="1" ht="14.25" customHeight="1">
      <c r="A1" s="1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4.25" customHeight="1">
      <c r="A2" s="4"/>
      <c r="B2" s="4"/>
      <c r="C2" s="5"/>
      <c r="D2" s="4"/>
      <c r="E2" s="4"/>
      <c r="F2" s="4"/>
      <c r="G2" s="4"/>
      <c r="H2" s="4"/>
      <c r="I2" s="4"/>
      <c r="J2" s="4"/>
      <c r="K2" s="5"/>
      <c r="L2" s="4"/>
      <c r="M2" s="4"/>
      <c r="N2" s="4"/>
      <c r="O2" s="4"/>
      <c r="P2" s="4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4.25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1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4.25" customHeight="1">
      <c r="A4" s="7"/>
      <c r="B4" s="2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5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4.25" customHeight="1">
      <c r="A5" s="9" t="s">
        <v>16</v>
      </c>
      <c r="B5" s="10">
        <v>43534.0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8"/>
      <c r="I5" s="8" t="s">
        <v>22</v>
      </c>
      <c r="J5" s="8"/>
      <c r="K5" s="8" t="s">
        <v>23</v>
      </c>
      <c r="L5" s="2"/>
      <c r="M5" s="2"/>
      <c r="N5" s="2"/>
      <c r="O5" s="2"/>
      <c r="P5" s="5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4.25" customHeight="1">
      <c r="A6" s="9"/>
      <c r="B6" s="2"/>
      <c r="C6" s="8"/>
      <c r="D6" s="2"/>
      <c r="E6" s="8"/>
      <c r="F6" s="8" t="s">
        <v>24</v>
      </c>
      <c r="G6" s="8" t="s">
        <v>25</v>
      </c>
      <c r="H6" s="8"/>
      <c r="I6" s="8" t="s">
        <v>26</v>
      </c>
      <c r="J6" s="8"/>
      <c r="K6" s="11" t="s">
        <v>27</v>
      </c>
      <c r="L6" s="2"/>
      <c r="M6" s="8" t="s">
        <v>28</v>
      </c>
      <c r="N6" s="8" t="s">
        <v>22</v>
      </c>
      <c r="O6" s="8"/>
      <c r="P6" s="5" t="s">
        <v>29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4.25" customHeight="1">
      <c r="A7" s="9"/>
      <c r="B7" s="2"/>
      <c r="C7" s="8"/>
      <c r="D7" s="2"/>
      <c r="E7" s="8"/>
      <c r="F7" s="8" t="s">
        <v>30</v>
      </c>
      <c r="G7" s="8" t="s">
        <v>31</v>
      </c>
      <c r="H7" s="8"/>
      <c r="I7" s="8" t="s">
        <v>22</v>
      </c>
      <c r="J7" s="8"/>
      <c r="K7" s="12" t="s">
        <v>32</v>
      </c>
      <c r="L7" s="2"/>
      <c r="M7" s="2"/>
      <c r="N7" s="2"/>
      <c r="O7" s="2"/>
      <c r="P7" s="5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4.25" customHeight="1">
      <c r="A8" s="7"/>
      <c r="B8" s="2"/>
      <c r="C8" s="8"/>
      <c r="D8" s="2"/>
      <c r="E8" s="8"/>
      <c r="F8" s="8" t="s">
        <v>33</v>
      </c>
      <c r="G8" s="8" t="s">
        <v>25</v>
      </c>
      <c r="H8" s="8"/>
      <c r="I8" s="8" t="s">
        <v>34</v>
      </c>
      <c r="J8" s="8"/>
      <c r="K8" s="12" t="s">
        <v>35</v>
      </c>
      <c r="L8" s="2"/>
      <c r="M8" s="2"/>
      <c r="N8" s="2"/>
      <c r="O8" s="2"/>
      <c r="P8" s="5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4.25" customHeight="1">
      <c r="A9" s="7"/>
      <c r="B9" s="2"/>
      <c r="C9" s="8"/>
      <c r="D9" s="2"/>
      <c r="E9" s="2"/>
      <c r="F9" s="2"/>
      <c r="G9" s="2"/>
      <c r="H9" s="2"/>
      <c r="I9" s="2"/>
      <c r="J9" s="2"/>
      <c r="K9" s="12" t="s">
        <v>36</v>
      </c>
      <c r="L9" s="2"/>
      <c r="M9" s="2"/>
      <c r="N9" s="2"/>
      <c r="O9" s="2"/>
      <c r="P9" s="5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4.25" customHeight="1">
      <c r="A10" s="7"/>
      <c r="B10" s="4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4.25" customHeight="1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4.25" customHeight="1">
      <c r="A12" s="9" t="s">
        <v>37</v>
      </c>
      <c r="B12" s="8" t="s">
        <v>38</v>
      </c>
      <c r="C12" s="8" t="s">
        <v>39</v>
      </c>
      <c r="D12" s="8" t="s">
        <v>40</v>
      </c>
      <c r="E12" s="8" t="s">
        <v>41</v>
      </c>
      <c r="F12" s="8" t="s">
        <v>20</v>
      </c>
      <c r="G12" s="8" t="s">
        <v>42</v>
      </c>
      <c r="H12" s="8"/>
      <c r="I12" s="8" t="s">
        <v>22</v>
      </c>
      <c r="J12" s="8"/>
      <c r="K12" s="8" t="s">
        <v>43</v>
      </c>
      <c r="L12" s="8" t="s">
        <v>44</v>
      </c>
      <c r="M12" s="2"/>
      <c r="N12" s="8" t="s">
        <v>29</v>
      </c>
      <c r="O12" s="2"/>
      <c r="P12" s="5" t="s">
        <v>29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4.25" customHeight="1">
      <c r="A13" s="9"/>
      <c r="B13" s="8"/>
      <c r="C13" s="8"/>
      <c r="D13" s="8"/>
      <c r="E13" s="8"/>
      <c r="F13" s="8" t="s">
        <v>45</v>
      </c>
      <c r="G13" s="8" t="s">
        <v>25</v>
      </c>
      <c r="H13" s="8"/>
      <c r="I13" s="8" t="s">
        <v>22</v>
      </c>
      <c r="J13" s="8"/>
      <c r="K13" s="12" t="s">
        <v>46</v>
      </c>
      <c r="L13" s="8" t="s">
        <v>47</v>
      </c>
      <c r="M13" s="2"/>
      <c r="N13" s="2"/>
      <c r="O13" s="2"/>
      <c r="P13" s="5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4.25" customHeight="1">
      <c r="A14" s="9"/>
      <c r="B14" s="2"/>
      <c r="C14" s="8"/>
      <c r="D14" s="2"/>
      <c r="E14" s="2"/>
      <c r="F14" s="2"/>
      <c r="G14" s="2"/>
      <c r="H14" s="2"/>
      <c r="I14" s="2"/>
      <c r="J14" s="2"/>
      <c r="K14" s="12" t="s">
        <v>48</v>
      </c>
      <c r="L14" s="2"/>
      <c r="M14" s="2"/>
      <c r="N14" s="2"/>
      <c r="O14" s="2"/>
      <c r="P14" s="5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4.25" customHeight="1">
      <c r="A15" s="9"/>
      <c r="B15" s="4"/>
      <c r="C15" s="5"/>
      <c r="D15" s="4"/>
      <c r="E15" s="4"/>
      <c r="F15" s="4"/>
      <c r="G15" s="4"/>
      <c r="H15" s="4"/>
      <c r="I15" s="4"/>
      <c r="J15" s="4"/>
      <c r="K15" s="13" t="s">
        <v>49</v>
      </c>
      <c r="L15" s="4"/>
      <c r="M15" s="4"/>
      <c r="N15" s="4"/>
      <c r="O15" s="4"/>
      <c r="P15" s="5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4.25" customHeight="1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4.25" customHeight="1">
      <c r="A17" s="9" t="s">
        <v>50</v>
      </c>
      <c r="B17" s="10">
        <v>43627.0</v>
      </c>
      <c r="C17" s="3" t="s">
        <v>51</v>
      </c>
      <c r="D17" s="8" t="s">
        <v>52</v>
      </c>
      <c r="E17" s="8" t="s">
        <v>53</v>
      </c>
      <c r="F17" s="8" t="s">
        <v>54</v>
      </c>
      <c r="G17" s="8" t="s">
        <v>55</v>
      </c>
      <c r="H17" s="8"/>
      <c r="I17" s="8" t="s">
        <v>22</v>
      </c>
      <c r="J17" s="8"/>
      <c r="K17" s="2"/>
      <c r="L17" s="2"/>
      <c r="M17" s="2"/>
      <c r="N17" s="2"/>
      <c r="O17" s="2"/>
      <c r="P17" s="5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4.25" customHeight="1">
      <c r="A18" s="9"/>
      <c r="B18" s="2"/>
      <c r="C18" s="8"/>
      <c r="D18" s="8" t="s">
        <v>56</v>
      </c>
      <c r="E18" s="8"/>
      <c r="F18" s="8" t="s">
        <v>57</v>
      </c>
      <c r="G18" s="8" t="s">
        <v>55</v>
      </c>
      <c r="H18" s="8"/>
      <c r="I18" s="8"/>
      <c r="J18" s="8"/>
      <c r="K18" s="2"/>
      <c r="L18" s="2"/>
      <c r="M18" s="8"/>
      <c r="N18" s="8"/>
      <c r="O18" s="8"/>
      <c r="P18" s="5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4.25" customHeight="1">
      <c r="A19" s="9"/>
      <c r="B19" s="2"/>
      <c r="D19" s="2"/>
      <c r="E19" s="8"/>
      <c r="F19" s="8" t="s">
        <v>58</v>
      </c>
      <c r="G19" s="8" t="s">
        <v>25</v>
      </c>
      <c r="H19" s="8"/>
      <c r="I19" s="8"/>
      <c r="J19" s="8"/>
      <c r="K19" s="2"/>
      <c r="L19" s="2"/>
      <c r="M19" s="2"/>
      <c r="N19" s="2"/>
      <c r="O19" s="2"/>
      <c r="P19" s="5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4.25" customHeight="1">
      <c r="A20" s="9"/>
      <c r="B20" s="2"/>
      <c r="C20" s="8"/>
      <c r="D20" s="2"/>
      <c r="E20" s="8"/>
      <c r="F20" s="8" t="s">
        <v>59</v>
      </c>
      <c r="G20" s="8" t="s">
        <v>25</v>
      </c>
      <c r="H20" s="8"/>
      <c r="I20" s="8"/>
      <c r="J20" s="8"/>
      <c r="K20" s="2"/>
      <c r="L20" s="2"/>
      <c r="M20" s="2"/>
      <c r="N20" s="2"/>
      <c r="O20" s="2"/>
      <c r="P20" s="5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4.25" customHeight="1">
      <c r="A21" s="9"/>
      <c r="B21" s="2"/>
      <c r="C21" s="8"/>
      <c r="D21" s="2"/>
      <c r="E21" s="8"/>
      <c r="F21" s="8" t="s">
        <v>60</v>
      </c>
      <c r="G21" s="8" t="s">
        <v>55</v>
      </c>
      <c r="H21" s="8"/>
      <c r="I21" s="8"/>
      <c r="J21" s="8"/>
      <c r="K21" s="2"/>
      <c r="L21" s="2"/>
      <c r="M21" s="2"/>
      <c r="N21" s="2"/>
      <c r="O21" s="2"/>
      <c r="P21" s="5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4.25" customHeight="1">
      <c r="A22" s="9"/>
      <c r="B22" s="2"/>
      <c r="C22" s="8"/>
      <c r="D22" s="2"/>
      <c r="E22" s="8"/>
      <c r="F22" s="8" t="s">
        <v>61</v>
      </c>
      <c r="G22" s="8" t="s">
        <v>62</v>
      </c>
      <c r="H22" s="8"/>
      <c r="I22" s="8"/>
      <c r="J22" s="8"/>
      <c r="K22" s="2"/>
      <c r="L22" s="2"/>
      <c r="M22" s="2"/>
      <c r="N22" s="2"/>
      <c r="O22" s="2"/>
      <c r="P22" s="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4.25" customHeight="1">
      <c r="A23" s="9"/>
      <c r="B23" s="8" t="s">
        <v>63</v>
      </c>
      <c r="C23" s="14" t="s">
        <v>64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5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4.25" customHeight="1">
      <c r="A24" s="9"/>
      <c r="B24" s="4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5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4.2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4.25" customHeight="1">
      <c r="A26" s="9" t="s">
        <v>65</v>
      </c>
      <c r="B26" s="10">
        <v>43657.0</v>
      </c>
      <c r="C26" s="8" t="s">
        <v>66</v>
      </c>
      <c r="D26" s="8" t="s">
        <v>40</v>
      </c>
      <c r="E26" s="8" t="s">
        <v>67</v>
      </c>
      <c r="F26" s="8" t="s">
        <v>45</v>
      </c>
      <c r="G26" s="8" t="s">
        <v>25</v>
      </c>
      <c r="H26" s="8"/>
      <c r="I26" s="8" t="s">
        <v>22</v>
      </c>
      <c r="J26" s="8"/>
      <c r="K26" s="11" t="s">
        <v>68</v>
      </c>
      <c r="L26" s="8" t="s">
        <v>44</v>
      </c>
      <c r="M26" s="2"/>
      <c r="N26" s="8" t="s">
        <v>29</v>
      </c>
      <c r="O26" s="2"/>
      <c r="P26" s="5" t="s">
        <v>29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4.25" customHeight="1">
      <c r="A27" s="9"/>
      <c r="B27" s="8"/>
      <c r="C27" s="8"/>
      <c r="D27" s="2"/>
      <c r="E27" s="2"/>
      <c r="F27" s="2"/>
      <c r="G27" s="2"/>
      <c r="H27" s="2"/>
      <c r="I27" s="2"/>
      <c r="J27" s="2"/>
      <c r="K27" s="12" t="s">
        <v>69</v>
      </c>
      <c r="L27" s="2"/>
      <c r="M27" s="2"/>
      <c r="N27" s="2"/>
      <c r="O27" s="2"/>
      <c r="P27" s="5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4.25" customHeight="1">
      <c r="A28" s="7"/>
      <c r="B28" s="4"/>
      <c r="C28" s="5"/>
      <c r="D28" s="4"/>
      <c r="E28" s="4"/>
      <c r="F28" s="4"/>
      <c r="G28" s="4"/>
      <c r="H28" s="4"/>
      <c r="I28" s="4"/>
      <c r="J28" s="4"/>
      <c r="K28" s="13" t="s">
        <v>70</v>
      </c>
      <c r="L28" s="4"/>
      <c r="M28" s="4"/>
      <c r="N28" s="4"/>
      <c r="O28" s="4"/>
      <c r="P28" s="5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4.25" customHeight="1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5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4.25" customHeight="1">
      <c r="A30" s="9" t="s">
        <v>71</v>
      </c>
      <c r="B30" s="10">
        <v>43688.0</v>
      </c>
      <c r="C30" s="8" t="s">
        <v>72</v>
      </c>
      <c r="D30" s="8" t="s">
        <v>40</v>
      </c>
      <c r="E30" s="8" t="s">
        <v>73</v>
      </c>
      <c r="F30" s="8" t="s">
        <v>74</v>
      </c>
      <c r="G30" s="8" t="s">
        <v>75</v>
      </c>
      <c r="H30" s="8"/>
      <c r="I30" s="8" t="s">
        <v>22</v>
      </c>
      <c r="J30" s="8"/>
      <c r="K30" s="12" t="s">
        <v>76</v>
      </c>
      <c r="L30" s="8" t="s">
        <v>44</v>
      </c>
      <c r="M30" s="2"/>
      <c r="N30" s="8" t="s">
        <v>29</v>
      </c>
      <c r="O30" s="2"/>
      <c r="P30" s="5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4.25" customHeight="1">
      <c r="A31" s="9"/>
      <c r="B31" s="8" t="s">
        <v>63</v>
      </c>
      <c r="C31" s="14" t="s">
        <v>64</v>
      </c>
      <c r="D31" s="2"/>
      <c r="E31" s="2"/>
      <c r="F31" s="2"/>
      <c r="G31" s="8" t="s">
        <v>75</v>
      </c>
      <c r="H31" s="8"/>
      <c r="I31" s="8"/>
      <c r="J31" s="8"/>
      <c r="K31" s="12" t="s">
        <v>77</v>
      </c>
      <c r="L31" s="8" t="s">
        <v>47</v>
      </c>
      <c r="M31" s="2"/>
      <c r="N31" s="2"/>
      <c r="O31" s="2"/>
      <c r="P31" s="5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4.25" customHeight="1">
      <c r="A32" s="9"/>
      <c r="B32" s="8"/>
      <c r="C32" s="8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5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4.25" customHeight="1">
      <c r="A33" s="7"/>
      <c r="B33" s="4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4.25" customHeight="1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5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4.25" customHeight="1">
      <c r="A35" s="9" t="s">
        <v>78</v>
      </c>
      <c r="B35" s="8" t="s">
        <v>79</v>
      </c>
      <c r="C35" s="3" t="s">
        <v>51</v>
      </c>
      <c r="D35" s="8" t="s">
        <v>40</v>
      </c>
      <c r="E35" s="8" t="s">
        <v>80</v>
      </c>
      <c r="F35" s="8" t="s">
        <v>81</v>
      </c>
      <c r="G35" s="8" t="s">
        <v>82</v>
      </c>
      <c r="H35" s="8"/>
      <c r="I35" s="8" t="s">
        <v>22</v>
      </c>
      <c r="J35" s="8"/>
      <c r="K35" s="2"/>
      <c r="L35" s="2"/>
      <c r="M35" s="2"/>
      <c r="N35" s="2"/>
      <c r="O35" s="2"/>
      <c r="P35" s="5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4.25" customHeight="1">
      <c r="A36" s="9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4.25" customHeight="1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5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4.25" customHeight="1">
      <c r="A38" s="9" t="s">
        <v>83</v>
      </c>
      <c r="B38" s="8" t="s">
        <v>84</v>
      </c>
      <c r="C38" s="3" t="s">
        <v>85</v>
      </c>
      <c r="D38" s="8" t="s">
        <v>40</v>
      </c>
      <c r="E38" s="8"/>
      <c r="F38" s="8" t="s">
        <v>20</v>
      </c>
      <c r="G38" s="8" t="s">
        <v>42</v>
      </c>
      <c r="H38" s="8"/>
      <c r="I38" s="8"/>
      <c r="J38" s="8"/>
      <c r="K38" s="8" t="s">
        <v>86</v>
      </c>
      <c r="L38" s="2"/>
      <c r="M38" s="2"/>
      <c r="N38" s="2"/>
      <c r="O38" s="2"/>
      <c r="P38" s="5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4.25" customHeight="1">
      <c r="A39" s="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4.25" customHeight="1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5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4.25" customHeight="1">
      <c r="A41" s="9" t="s">
        <v>87</v>
      </c>
      <c r="B41" s="8" t="s">
        <v>88</v>
      </c>
      <c r="C41" s="3" t="s">
        <v>89</v>
      </c>
      <c r="D41" s="8" t="s">
        <v>40</v>
      </c>
      <c r="E41" s="8" t="s">
        <v>90</v>
      </c>
      <c r="F41" s="8" t="s">
        <v>45</v>
      </c>
      <c r="G41" s="8" t="s">
        <v>91</v>
      </c>
      <c r="H41" s="8"/>
      <c r="I41" s="8" t="s">
        <v>22</v>
      </c>
      <c r="J41" s="8"/>
      <c r="K41" s="11" t="s">
        <v>92</v>
      </c>
      <c r="L41" s="8" t="s">
        <v>44</v>
      </c>
      <c r="M41" s="2"/>
      <c r="N41" s="8" t="s">
        <v>29</v>
      </c>
      <c r="O41" s="2"/>
      <c r="P41" s="5" t="s">
        <v>29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4.25" customHeight="1">
      <c r="A42" s="9"/>
      <c r="B42" s="8"/>
      <c r="C42" s="8"/>
      <c r="D42" s="2"/>
      <c r="E42" s="2"/>
      <c r="F42" s="2"/>
      <c r="G42" s="8"/>
      <c r="H42" s="8"/>
      <c r="I42" s="8"/>
      <c r="J42" s="8"/>
      <c r="K42" s="12" t="s">
        <v>93</v>
      </c>
      <c r="L42" s="8" t="s">
        <v>47</v>
      </c>
      <c r="M42" s="2"/>
      <c r="N42" s="2"/>
      <c r="O42" s="2"/>
      <c r="P42" s="5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4.25" customHeight="1">
      <c r="A43" s="9"/>
      <c r="B43" s="5"/>
      <c r="C43" s="5"/>
      <c r="D43" s="4"/>
      <c r="E43" s="4"/>
      <c r="F43" s="4"/>
      <c r="G43" s="4"/>
      <c r="H43" s="4"/>
      <c r="I43" s="4"/>
      <c r="J43" s="4"/>
      <c r="K43" s="13" t="s">
        <v>94</v>
      </c>
      <c r="L43" s="4"/>
      <c r="M43" s="4"/>
      <c r="N43" s="4"/>
      <c r="O43" s="4"/>
      <c r="P43" s="5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4.25" customHeight="1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5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4.25" customHeight="1">
      <c r="A45" s="9" t="s">
        <v>95</v>
      </c>
      <c r="B45" s="8" t="s">
        <v>63</v>
      </c>
      <c r="C45" s="8" t="s">
        <v>96</v>
      </c>
      <c r="D45" s="8" t="s">
        <v>40</v>
      </c>
      <c r="E45" s="8"/>
      <c r="F45" s="8" t="s">
        <v>97</v>
      </c>
      <c r="G45" s="8" t="s">
        <v>42</v>
      </c>
      <c r="H45" s="8"/>
      <c r="I45" s="8"/>
      <c r="J45" s="8"/>
      <c r="K45" s="8" t="s">
        <v>98</v>
      </c>
      <c r="L45" s="8" t="s">
        <v>44</v>
      </c>
      <c r="M45" s="2"/>
      <c r="N45" s="8" t="s">
        <v>29</v>
      </c>
      <c r="O45" s="2"/>
      <c r="P45" s="5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4.25" customHeight="1">
      <c r="A46" s="7"/>
      <c r="B46" s="2"/>
      <c r="C46" s="8"/>
      <c r="D46" s="8"/>
      <c r="E46" s="8"/>
      <c r="F46" s="8" t="s">
        <v>99</v>
      </c>
      <c r="G46" s="8" t="s">
        <v>100</v>
      </c>
      <c r="H46" s="8"/>
      <c r="I46" s="8" t="s">
        <v>22</v>
      </c>
      <c r="J46" s="8"/>
      <c r="K46" s="12" t="s">
        <v>101</v>
      </c>
      <c r="L46" s="8" t="s">
        <v>47</v>
      </c>
      <c r="M46" s="2"/>
      <c r="N46" s="2"/>
      <c r="O46" s="2"/>
      <c r="P46" s="5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4.25" customHeight="1">
      <c r="A47" s="7"/>
      <c r="B47" s="2"/>
      <c r="C47" s="8"/>
      <c r="D47" s="2"/>
      <c r="E47" s="2"/>
      <c r="F47" s="2"/>
      <c r="G47" s="2"/>
      <c r="H47" s="2"/>
      <c r="I47" s="2"/>
      <c r="J47" s="2"/>
      <c r="K47" s="12" t="s">
        <v>102</v>
      </c>
      <c r="L47" s="2"/>
      <c r="M47" s="2"/>
      <c r="N47" s="2"/>
      <c r="O47" s="2"/>
      <c r="P47" s="5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4.25" customHeight="1">
      <c r="A48" s="7"/>
      <c r="B48" s="2"/>
      <c r="C48" s="8"/>
      <c r="D48" s="2"/>
      <c r="E48" s="2"/>
      <c r="F48" s="2"/>
      <c r="G48" s="2"/>
      <c r="H48" s="2"/>
      <c r="I48" s="2"/>
      <c r="J48" s="2"/>
      <c r="K48" s="12" t="s">
        <v>103</v>
      </c>
      <c r="L48" s="2"/>
      <c r="M48" s="2"/>
      <c r="N48" s="2"/>
      <c r="O48" s="2"/>
      <c r="P48" s="5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4.25" customHeight="1">
      <c r="A49" s="9"/>
      <c r="B49" s="2"/>
      <c r="C49" s="8"/>
      <c r="D49" s="2"/>
      <c r="E49" s="8"/>
      <c r="F49" s="8" t="s">
        <v>104</v>
      </c>
      <c r="G49" s="8" t="s">
        <v>105</v>
      </c>
      <c r="H49" s="8"/>
      <c r="I49" s="8"/>
      <c r="J49" s="8"/>
      <c r="K49" s="2"/>
      <c r="L49" s="2"/>
      <c r="M49" s="2"/>
      <c r="N49" s="2"/>
      <c r="O49" s="2"/>
      <c r="P49" s="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4.25" customHeight="1">
      <c r="A50" s="9"/>
      <c r="B50" s="4"/>
      <c r="C50" s="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4.25" customHeight="1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5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4.25" customHeight="1">
      <c r="A52" s="9" t="s">
        <v>106</v>
      </c>
      <c r="B52" s="10">
        <v>43808.0</v>
      </c>
      <c r="C52" s="3" t="s">
        <v>107</v>
      </c>
      <c r="D52" s="8" t="s">
        <v>40</v>
      </c>
      <c r="E52" s="8" t="s">
        <v>108</v>
      </c>
      <c r="F52" s="8" t="s">
        <v>20</v>
      </c>
      <c r="G52" s="8" t="s">
        <v>42</v>
      </c>
      <c r="H52" s="8"/>
      <c r="I52" s="8" t="s">
        <v>22</v>
      </c>
      <c r="J52" s="8"/>
      <c r="K52" s="8" t="s">
        <v>109</v>
      </c>
      <c r="L52" s="8" t="s">
        <v>110</v>
      </c>
      <c r="M52" s="8" t="s">
        <v>111</v>
      </c>
      <c r="N52" s="8" t="s">
        <v>29</v>
      </c>
      <c r="O52" s="2"/>
      <c r="P52" s="5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4.25" customHeight="1">
      <c r="A53" s="7"/>
      <c r="B53" s="2"/>
      <c r="C53" s="8"/>
      <c r="D53" s="8"/>
      <c r="E53" s="8"/>
      <c r="F53" s="8" t="s">
        <v>112</v>
      </c>
      <c r="G53" s="15" t="s">
        <v>113</v>
      </c>
      <c r="H53" s="8"/>
      <c r="I53" s="8"/>
      <c r="J53" s="8"/>
      <c r="K53" s="12" t="s">
        <v>114</v>
      </c>
      <c r="L53" s="8" t="s">
        <v>47</v>
      </c>
      <c r="M53" s="2"/>
      <c r="N53" s="2"/>
      <c r="O53" s="2"/>
      <c r="P53" s="5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4.25" customHeight="1">
      <c r="A54" s="7"/>
      <c r="B54" s="4"/>
      <c r="C54" s="5"/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4.25" customHeight="1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5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4.25" customHeight="1">
      <c r="A56" s="9" t="s">
        <v>115</v>
      </c>
      <c r="B56" s="8" t="s">
        <v>116</v>
      </c>
      <c r="C56" s="8" t="s">
        <v>117</v>
      </c>
      <c r="D56" s="8" t="s">
        <v>40</v>
      </c>
      <c r="E56" s="8"/>
      <c r="F56" s="8" t="s">
        <v>20</v>
      </c>
      <c r="G56" s="8" t="s">
        <v>118</v>
      </c>
      <c r="H56" s="8"/>
      <c r="I56" s="8"/>
      <c r="J56" s="8"/>
      <c r="K56" s="8" t="s">
        <v>109</v>
      </c>
      <c r="L56" s="8" t="s">
        <v>110</v>
      </c>
      <c r="M56" s="2"/>
      <c r="N56" s="8" t="s">
        <v>29</v>
      </c>
      <c r="O56" s="2"/>
      <c r="P56" s="5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4.25" customHeight="1">
      <c r="A57" s="7"/>
      <c r="B57" s="2"/>
      <c r="C57" s="8"/>
      <c r="D57" s="2"/>
      <c r="E57" s="8"/>
      <c r="F57" s="8" t="s">
        <v>45</v>
      </c>
      <c r="G57" s="8" t="s">
        <v>119</v>
      </c>
      <c r="H57" s="8"/>
      <c r="I57" s="8" t="s">
        <v>22</v>
      </c>
      <c r="J57" s="8"/>
      <c r="K57" s="8" t="s">
        <v>120</v>
      </c>
      <c r="L57" s="2"/>
      <c r="M57" s="2"/>
      <c r="N57" s="2"/>
      <c r="O57" s="2"/>
      <c r="P57" s="5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4.25" customHeight="1">
      <c r="A58" s="7"/>
      <c r="B58" s="2"/>
      <c r="C58" s="8"/>
      <c r="D58" s="2"/>
      <c r="E58" s="2"/>
      <c r="F58" s="2"/>
      <c r="G58" s="2"/>
      <c r="H58" s="2"/>
      <c r="I58" s="2"/>
      <c r="J58" s="2"/>
      <c r="K58" s="8" t="s">
        <v>121</v>
      </c>
      <c r="L58" s="2"/>
      <c r="M58" s="2"/>
      <c r="N58" s="2"/>
      <c r="O58" s="2"/>
      <c r="P58" s="5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4.25" customHeight="1">
      <c r="A59" s="7"/>
      <c r="B59" s="2"/>
      <c r="C59" s="2"/>
      <c r="D59" s="2"/>
      <c r="E59" s="2"/>
      <c r="F59" s="2"/>
      <c r="G59" s="2"/>
      <c r="H59" s="2"/>
      <c r="I59" s="2"/>
      <c r="J59" s="2"/>
      <c r="K59" s="12" t="s">
        <v>122</v>
      </c>
      <c r="L59" s="2"/>
      <c r="M59" s="2"/>
      <c r="N59" s="2"/>
      <c r="O59" s="2"/>
      <c r="P59" s="5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4.25" customHeight="1">
      <c r="A60" s="7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4.25" customHeight="1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5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4.25" customHeight="1">
      <c r="A62" s="9" t="s">
        <v>123</v>
      </c>
      <c r="B62" s="10">
        <v>44167.0</v>
      </c>
      <c r="C62" s="3" t="s">
        <v>124</v>
      </c>
      <c r="D62" s="8" t="s">
        <v>40</v>
      </c>
      <c r="E62" s="16"/>
      <c r="F62" s="8" t="s">
        <v>125</v>
      </c>
      <c r="G62" s="8" t="s">
        <v>25</v>
      </c>
      <c r="H62" s="8"/>
      <c r="I62" s="8" t="s">
        <v>22</v>
      </c>
      <c r="J62" s="8"/>
      <c r="K62" s="12" t="s">
        <v>126</v>
      </c>
      <c r="L62" s="8" t="s">
        <v>44</v>
      </c>
      <c r="M62" s="8" t="s">
        <v>127</v>
      </c>
      <c r="N62" s="2"/>
      <c r="O62" s="2"/>
      <c r="P62" s="5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4.25" customHeight="1">
      <c r="A63" s="7"/>
      <c r="B63" s="2"/>
      <c r="C63" s="2"/>
      <c r="D63" s="2"/>
      <c r="E63" s="2"/>
      <c r="F63" s="2"/>
      <c r="G63" s="2"/>
      <c r="H63" s="2"/>
      <c r="I63" s="2"/>
      <c r="J63" s="2"/>
      <c r="K63" s="12" t="s">
        <v>128</v>
      </c>
      <c r="L63" s="8" t="s">
        <v>47</v>
      </c>
      <c r="M63" s="2"/>
      <c r="N63" s="2"/>
      <c r="O63" s="2"/>
      <c r="P63" s="5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4.25" customHeight="1">
      <c r="A64" s="7"/>
      <c r="B64" s="2"/>
      <c r="C64" s="2"/>
      <c r="D64" s="2"/>
      <c r="E64" s="2"/>
      <c r="F64" s="2"/>
      <c r="G64" s="2"/>
      <c r="H64" s="2"/>
      <c r="I64" s="2"/>
      <c r="J64" s="2"/>
      <c r="K64" s="12" t="s">
        <v>129</v>
      </c>
      <c r="L64" s="2"/>
      <c r="M64" s="2"/>
      <c r="N64" s="2"/>
      <c r="O64" s="2"/>
      <c r="P64" s="5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4.25" customHeight="1">
      <c r="A65" s="7"/>
      <c r="B65" s="4"/>
      <c r="C65" s="4"/>
      <c r="D65" s="4"/>
      <c r="E65" s="4"/>
      <c r="F65" s="4"/>
      <c r="G65" s="4"/>
      <c r="H65" s="4"/>
      <c r="I65" s="4"/>
      <c r="J65" s="4"/>
      <c r="K65" s="13" t="s">
        <v>130</v>
      </c>
      <c r="L65" s="4"/>
      <c r="M65" s="4"/>
      <c r="N65" s="4"/>
      <c r="O65" s="4"/>
      <c r="P65" s="5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4.25" customHeight="1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5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4.25" customHeight="1">
      <c r="A67" s="9" t="s">
        <v>131</v>
      </c>
      <c r="B67" s="8" t="s">
        <v>132</v>
      </c>
      <c r="C67" s="3" t="s">
        <v>133</v>
      </c>
      <c r="D67" s="8" t="s">
        <v>40</v>
      </c>
      <c r="E67" s="8" t="s">
        <v>134</v>
      </c>
      <c r="F67" s="8" t="s">
        <v>45</v>
      </c>
      <c r="G67" s="8" t="s">
        <v>25</v>
      </c>
      <c r="H67" s="8"/>
      <c r="I67" s="8" t="s">
        <v>22</v>
      </c>
      <c r="J67" s="8"/>
      <c r="K67" s="12" t="s">
        <v>135</v>
      </c>
      <c r="L67" s="8" t="s">
        <v>44</v>
      </c>
      <c r="M67" s="8" t="s">
        <v>127</v>
      </c>
      <c r="N67" s="8" t="s">
        <v>29</v>
      </c>
      <c r="O67" s="2"/>
      <c r="P67" s="5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4.25" customHeight="1">
      <c r="A68" s="7"/>
      <c r="B68" s="2"/>
      <c r="C68" s="8" t="s">
        <v>136</v>
      </c>
      <c r="D68" s="2"/>
      <c r="E68" s="2"/>
      <c r="F68" s="2"/>
      <c r="G68" s="2"/>
      <c r="H68" s="2"/>
      <c r="I68" s="2"/>
      <c r="J68" s="2"/>
      <c r="K68" s="8" t="s">
        <v>137</v>
      </c>
      <c r="L68" s="8" t="s">
        <v>47</v>
      </c>
      <c r="M68" s="2"/>
      <c r="N68" s="2"/>
      <c r="O68" s="2"/>
      <c r="P68" s="5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4.25" customHeight="1">
      <c r="A69" s="7"/>
      <c r="B69" s="4"/>
      <c r="C69" s="4"/>
      <c r="D69" s="4"/>
      <c r="E69" s="4"/>
      <c r="F69" s="4"/>
      <c r="G69" s="4"/>
      <c r="H69" s="4"/>
      <c r="I69" s="4"/>
      <c r="J69" s="2"/>
      <c r="K69" s="5" t="s">
        <v>138</v>
      </c>
      <c r="L69" s="4"/>
      <c r="M69" s="4"/>
      <c r="N69" s="4"/>
      <c r="O69" s="4"/>
      <c r="P69" s="5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4.25" customHeight="1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5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4.25" customHeight="1">
      <c r="A71" s="9" t="s">
        <v>139</v>
      </c>
      <c r="B71" s="8" t="s">
        <v>132</v>
      </c>
      <c r="C71" s="3" t="s">
        <v>133</v>
      </c>
      <c r="D71" s="8" t="s">
        <v>40</v>
      </c>
      <c r="E71" s="8" t="s">
        <v>140</v>
      </c>
      <c r="F71" s="8" t="s">
        <v>45</v>
      </c>
      <c r="G71" s="8" t="s">
        <v>25</v>
      </c>
      <c r="H71" s="8"/>
      <c r="I71" s="8" t="s">
        <v>22</v>
      </c>
      <c r="J71" s="8"/>
      <c r="K71" s="12" t="s">
        <v>141</v>
      </c>
      <c r="L71" s="8" t="s">
        <v>44</v>
      </c>
      <c r="M71" s="8" t="s">
        <v>127</v>
      </c>
      <c r="N71" s="8"/>
      <c r="O71" s="2"/>
      <c r="P71" s="5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4.25" customHeight="1">
      <c r="A72" s="7"/>
      <c r="B72" s="2"/>
      <c r="C72" s="8" t="s">
        <v>142</v>
      </c>
      <c r="D72" s="2"/>
      <c r="E72" s="2"/>
      <c r="F72" s="2"/>
      <c r="G72" s="2"/>
      <c r="H72" s="2"/>
      <c r="I72" s="2"/>
      <c r="J72" s="2"/>
      <c r="K72" s="8" t="s">
        <v>143</v>
      </c>
      <c r="L72" s="8" t="s">
        <v>47</v>
      </c>
      <c r="M72" s="2"/>
      <c r="N72" s="2"/>
      <c r="O72" s="2"/>
      <c r="P72" s="5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4.25" customHeight="1">
      <c r="A73" s="7"/>
      <c r="B73" s="2"/>
      <c r="C73" s="2"/>
      <c r="D73" s="2"/>
      <c r="E73" s="2"/>
      <c r="F73" s="2"/>
      <c r="G73" s="2"/>
      <c r="H73" s="2"/>
      <c r="I73" s="2"/>
      <c r="J73" s="2"/>
      <c r="K73" s="12" t="s">
        <v>144</v>
      </c>
      <c r="L73" s="2"/>
      <c r="M73" s="2"/>
      <c r="N73" s="2"/>
      <c r="O73" s="2"/>
      <c r="P73" s="5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4.25" customHeight="1">
      <c r="A74" s="7"/>
      <c r="B74" s="4"/>
      <c r="C74" s="4"/>
      <c r="D74" s="4"/>
      <c r="E74" s="4"/>
      <c r="F74" s="4"/>
      <c r="G74" s="4"/>
      <c r="H74" s="4"/>
      <c r="I74" s="4"/>
      <c r="J74" s="4"/>
      <c r="K74" s="5"/>
      <c r="L74" s="4"/>
      <c r="M74" s="4"/>
      <c r="N74" s="4"/>
      <c r="O74" s="4"/>
      <c r="P74" s="5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4.25" customHeight="1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5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4.25" customHeight="1">
      <c r="A76" s="9" t="s">
        <v>145</v>
      </c>
      <c r="B76" s="8" t="s">
        <v>146</v>
      </c>
      <c r="C76" s="8" t="s">
        <v>147</v>
      </c>
      <c r="D76" s="8" t="s">
        <v>40</v>
      </c>
      <c r="E76" s="8"/>
      <c r="F76" s="8" t="s">
        <v>45</v>
      </c>
      <c r="G76" s="8" t="s">
        <v>25</v>
      </c>
      <c r="H76" s="8"/>
      <c r="I76" s="8" t="s">
        <v>22</v>
      </c>
      <c r="J76" s="8"/>
      <c r="K76" s="12" t="s">
        <v>148</v>
      </c>
      <c r="L76" s="8" t="s">
        <v>44</v>
      </c>
      <c r="M76" s="8" t="s">
        <v>127</v>
      </c>
      <c r="N76" s="2"/>
      <c r="O76" s="2"/>
      <c r="P76" s="5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4.25" customHeight="1">
      <c r="A77" s="7"/>
      <c r="B77" s="2"/>
      <c r="C77" s="2"/>
      <c r="D77" s="2"/>
      <c r="E77" s="2"/>
      <c r="F77" s="2"/>
      <c r="G77" s="2"/>
      <c r="H77" s="2"/>
      <c r="I77" s="2"/>
      <c r="J77" s="2"/>
      <c r="K77" s="8" t="s">
        <v>149</v>
      </c>
      <c r="L77" s="8" t="s">
        <v>47</v>
      </c>
      <c r="M77" s="2"/>
      <c r="N77" s="2"/>
      <c r="O77" s="2"/>
      <c r="P77" s="5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4.25" customHeight="1">
      <c r="A78" s="7"/>
      <c r="B78" s="2"/>
      <c r="C78" s="2"/>
      <c r="D78" s="2"/>
      <c r="E78" s="2"/>
      <c r="F78" s="2"/>
      <c r="G78" s="2"/>
      <c r="H78" s="2"/>
      <c r="I78" s="2"/>
      <c r="J78" s="2"/>
      <c r="K78" s="8" t="s">
        <v>150</v>
      </c>
      <c r="L78" s="2"/>
      <c r="M78" s="2"/>
      <c r="N78" s="2"/>
      <c r="O78" s="2"/>
      <c r="P78" s="5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4.25" customHeight="1">
      <c r="A79" s="7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5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4.25" customHeight="1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5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4.25" customHeight="1">
      <c r="A81" s="9" t="s">
        <v>151</v>
      </c>
      <c r="B81" s="10">
        <v>43987.0</v>
      </c>
      <c r="C81" s="8" t="s">
        <v>152</v>
      </c>
      <c r="D81" s="8" t="s">
        <v>40</v>
      </c>
      <c r="E81" s="17" t="s">
        <v>153</v>
      </c>
      <c r="F81" s="8" t="s">
        <v>154</v>
      </c>
      <c r="G81" s="8" t="s">
        <v>155</v>
      </c>
      <c r="H81" s="8"/>
      <c r="I81" s="8" t="s">
        <v>22</v>
      </c>
      <c r="J81" s="8"/>
      <c r="K81" s="12" t="s">
        <v>156</v>
      </c>
      <c r="L81" s="2"/>
      <c r="M81" s="2"/>
      <c r="N81" s="2"/>
      <c r="O81" s="2"/>
      <c r="P81" s="5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4.25" customHeight="1">
      <c r="A82" s="7"/>
      <c r="B82" s="2"/>
      <c r="C82" s="2"/>
      <c r="D82" s="2"/>
      <c r="E82" s="2"/>
      <c r="F82" s="2"/>
      <c r="G82" s="2"/>
      <c r="H82" s="2"/>
      <c r="I82" s="2"/>
      <c r="J82" s="2"/>
      <c r="K82" s="12" t="s">
        <v>157</v>
      </c>
      <c r="L82" s="8" t="s">
        <v>44</v>
      </c>
      <c r="M82" s="2"/>
      <c r="N82" s="2"/>
      <c r="O82" s="2"/>
      <c r="P82" s="5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4.25" customHeight="1">
      <c r="A83" s="7"/>
      <c r="B83" s="2"/>
      <c r="C83" s="2"/>
      <c r="D83" s="2"/>
      <c r="E83" s="2"/>
      <c r="F83" s="1" t="s">
        <v>158</v>
      </c>
      <c r="G83" s="2"/>
      <c r="H83" s="2"/>
      <c r="I83" s="2"/>
      <c r="J83" s="2"/>
      <c r="K83" s="12" t="s">
        <v>159</v>
      </c>
      <c r="L83" s="8" t="s">
        <v>47</v>
      </c>
      <c r="M83" s="2"/>
      <c r="N83" s="2"/>
      <c r="O83" s="2"/>
      <c r="P83" s="5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4.25" customHeight="1">
      <c r="A84" s="7"/>
      <c r="B84" s="2"/>
      <c r="C84" s="2"/>
      <c r="D84" s="2"/>
      <c r="E84" s="2"/>
      <c r="F84" s="2"/>
      <c r="G84" s="2"/>
      <c r="H84" s="2"/>
      <c r="I84" s="2"/>
      <c r="J84" s="2"/>
      <c r="K84" s="12" t="s">
        <v>160</v>
      </c>
      <c r="L84" s="2"/>
      <c r="M84" s="2"/>
      <c r="N84" s="2"/>
      <c r="O84" s="2"/>
      <c r="P84" s="5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4.25" customHeight="1">
      <c r="A85" s="18"/>
      <c r="B85" s="2"/>
      <c r="C85" s="2"/>
      <c r="D85" s="2"/>
      <c r="E85" s="2"/>
      <c r="F85" s="2"/>
      <c r="G85" s="2"/>
      <c r="H85" s="2"/>
      <c r="I85" s="2"/>
      <c r="J85" s="2"/>
      <c r="K85" s="12" t="s">
        <v>161</v>
      </c>
      <c r="L85" s="2"/>
      <c r="M85" s="2"/>
      <c r="N85" s="2"/>
      <c r="O85" s="2"/>
      <c r="P85" s="8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4.25" customHeight="1">
      <c r="A86" s="7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4.25" customHeight="1">
      <c r="A87" s="9" t="s">
        <v>162</v>
      </c>
      <c r="B87" s="8" t="s">
        <v>163</v>
      </c>
      <c r="C87" s="8" t="s">
        <v>164</v>
      </c>
      <c r="D87" s="8" t="s">
        <v>40</v>
      </c>
      <c r="E87" s="8" t="s">
        <v>165</v>
      </c>
      <c r="F87" s="8" t="s">
        <v>166</v>
      </c>
      <c r="G87" s="8" t="s">
        <v>155</v>
      </c>
      <c r="H87" s="8"/>
      <c r="I87" s="8" t="s">
        <v>22</v>
      </c>
      <c r="J87" s="8"/>
      <c r="K87" s="8"/>
      <c r="L87" s="8"/>
      <c r="M87" s="8"/>
      <c r="N87" s="8"/>
      <c r="O87" s="8"/>
      <c r="P87" s="5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4.25" customHeight="1">
      <c r="A88" s="7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4.25" customHeight="1">
      <c r="A89" s="7" t="s">
        <v>167</v>
      </c>
      <c r="B89" s="10">
        <v>44171.0</v>
      </c>
      <c r="C89" s="8" t="s">
        <v>168</v>
      </c>
      <c r="D89" s="8" t="s">
        <v>40</v>
      </c>
      <c r="E89" s="8" t="s">
        <v>169</v>
      </c>
      <c r="F89" s="8" t="s">
        <v>154</v>
      </c>
      <c r="G89" s="8" t="s">
        <v>155</v>
      </c>
      <c r="H89" s="8"/>
      <c r="I89" s="8"/>
      <c r="J89" s="8"/>
      <c r="K89" s="12" t="s">
        <v>170</v>
      </c>
      <c r="L89" s="8" t="s">
        <v>44</v>
      </c>
      <c r="M89" s="8"/>
      <c r="N89" s="8"/>
      <c r="O89" s="8"/>
      <c r="P89" s="5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4.25" customHeight="1">
      <c r="A90" s="7"/>
      <c r="B90" s="2"/>
      <c r="C90" s="2"/>
      <c r="D90" s="2"/>
      <c r="E90" s="2"/>
      <c r="F90" s="2"/>
      <c r="G90" s="2"/>
      <c r="H90" s="2"/>
      <c r="I90" s="2"/>
      <c r="J90" s="2"/>
      <c r="K90" s="12" t="s">
        <v>171</v>
      </c>
      <c r="L90" s="8" t="s">
        <v>47</v>
      </c>
      <c r="M90" s="2"/>
      <c r="N90" s="2"/>
      <c r="O90" s="2"/>
      <c r="P90" s="5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4.25" customHeight="1">
      <c r="A91" s="7"/>
      <c r="B91" s="2"/>
      <c r="C91" s="2"/>
      <c r="D91" s="2"/>
      <c r="E91" s="2"/>
      <c r="F91" s="2"/>
      <c r="G91" s="2"/>
      <c r="H91" s="2"/>
      <c r="I91" s="2"/>
      <c r="J91" s="2"/>
      <c r="K91" s="12" t="s">
        <v>172</v>
      </c>
      <c r="L91" s="2"/>
      <c r="M91" s="2"/>
      <c r="N91" s="2"/>
      <c r="O91" s="2"/>
      <c r="P91" s="5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4.25" customHeight="1">
      <c r="A92" s="7"/>
      <c r="B92" s="4"/>
      <c r="C92" s="4"/>
      <c r="D92" s="4"/>
      <c r="E92" s="4"/>
      <c r="F92" s="4"/>
      <c r="G92" s="4"/>
      <c r="H92" s="4"/>
      <c r="I92" s="4"/>
      <c r="J92" s="4"/>
      <c r="K92" s="13" t="s">
        <v>173</v>
      </c>
      <c r="L92" s="4"/>
      <c r="M92" s="4"/>
      <c r="N92" s="4"/>
      <c r="O92" s="4"/>
      <c r="P92" s="5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4.25" customHeight="1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5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4.25" customHeight="1">
      <c r="A94" s="9" t="s">
        <v>174</v>
      </c>
      <c r="B94" s="10">
        <v>43989.0</v>
      </c>
      <c r="C94" s="8" t="s">
        <v>175</v>
      </c>
      <c r="D94" s="8" t="s">
        <v>40</v>
      </c>
      <c r="E94" s="8" t="s">
        <v>176</v>
      </c>
      <c r="F94" s="8" t="s">
        <v>177</v>
      </c>
      <c r="G94" s="8" t="s">
        <v>25</v>
      </c>
      <c r="H94" s="8"/>
      <c r="I94" s="8" t="s">
        <v>22</v>
      </c>
      <c r="J94" s="8"/>
      <c r="K94" s="12" t="s">
        <v>178</v>
      </c>
      <c r="L94" s="8" t="s">
        <v>44</v>
      </c>
      <c r="M94" s="2"/>
      <c r="N94" s="2"/>
      <c r="O94" s="2"/>
      <c r="P94" s="5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4.25" customHeight="1">
      <c r="A95" s="7"/>
      <c r="B95" s="2"/>
      <c r="C95" s="2"/>
      <c r="D95" s="2"/>
      <c r="E95" s="2"/>
      <c r="F95" s="2"/>
      <c r="G95" s="2"/>
      <c r="H95" s="2"/>
      <c r="I95" s="2"/>
      <c r="J95" s="2"/>
      <c r="K95" s="12" t="s">
        <v>179</v>
      </c>
      <c r="L95" s="8" t="s">
        <v>47</v>
      </c>
      <c r="M95" s="2"/>
      <c r="N95" s="2"/>
      <c r="O95" s="2"/>
      <c r="P95" s="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4.25" customHeight="1">
      <c r="A96" s="7"/>
      <c r="B96" s="2"/>
      <c r="C96" s="2"/>
      <c r="D96" s="2"/>
      <c r="E96" s="2"/>
      <c r="F96" s="2"/>
      <c r="G96" s="2"/>
      <c r="H96" s="2"/>
      <c r="I96" s="2"/>
      <c r="J96" s="2"/>
      <c r="K96" s="12" t="s">
        <v>180</v>
      </c>
      <c r="L96" s="2"/>
      <c r="M96" s="2"/>
      <c r="N96" s="2"/>
      <c r="O96" s="2"/>
      <c r="P96" s="5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4.25" customHeight="1">
      <c r="A97" s="7"/>
      <c r="B97" s="4"/>
      <c r="C97" s="4"/>
      <c r="D97" s="4"/>
      <c r="E97" s="4"/>
      <c r="F97" s="4"/>
      <c r="G97" s="4"/>
      <c r="H97" s="4"/>
      <c r="I97" s="4"/>
      <c r="J97" s="4"/>
      <c r="K97" s="13" t="s">
        <v>181</v>
      </c>
      <c r="L97" s="4"/>
      <c r="M97" s="4"/>
      <c r="N97" s="4"/>
      <c r="O97" s="4"/>
      <c r="P97" s="5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4.25" customHeight="1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5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4.25" customHeight="1">
      <c r="A99" s="9" t="s">
        <v>182</v>
      </c>
      <c r="B99" s="10">
        <v>43989.0</v>
      </c>
      <c r="C99" s="3" t="s">
        <v>183</v>
      </c>
      <c r="D99" s="8" t="s">
        <v>40</v>
      </c>
      <c r="E99" s="8" t="s">
        <v>184</v>
      </c>
      <c r="F99" s="8" t="s">
        <v>177</v>
      </c>
      <c r="G99" s="8" t="s">
        <v>25</v>
      </c>
      <c r="H99" s="8"/>
      <c r="I99" s="8" t="s">
        <v>22</v>
      </c>
      <c r="J99" s="8" t="s">
        <v>185</v>
      </c>
      <c r="K99" s="8"/>
      <c r="L99" s="2"/>
      <c r="M99" s="2"/>
      <c r="N99" s="2"/>
      <c r="O99" s="2"/>
      <c r="P99" s="5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4.25" customHeight="1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5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4.25" customHeight="1">
      <c r="A101" s="7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5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4.25" customHeight="1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5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4.25" customHeight="1">
      <c r="A103" s="9" t="s">
        <v>186</v>
      </c>
      <c r="B103" s="10">
        <v>44050.0</v>
      </c>
      <c r="C103" s="8" t="s">
        <v>187</v>
      </c>
      <c r="D103" s="8" t="s">
        <v>40</v>
      </c>
      <c r="E103" s="8" t="s">
        <v>188</v>
      </c>
      <c r="F103" s="8" t="s">
        <v>189</v>
      </c>
      <c r="G103" s="8" t="s">
        <v>25</v>
      </c>
      <c r="H103" s="8"/>
      <c r="I103" s="8" t="s">
        <v>22</v>
      </c>
      <c r="J103" s="8"/>
      <c r="K103" s="12" t="s">
        <v>190</v>
      </c>
      <c r="L103" s="8" t="s">
        <v>110</v>
      </c>
      <c r="M103" s="2"/>
      <c r="N103" s="2"/>
      <c r="O103" s="2"/>
      <c r="P103" s="5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4.25" customHeight="1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12" t="s">
        <v>191</v>
      </c>
      <c r="L104" s="2"/>
      <c r="M104" s="2"/>
      <c r="N104" s="2"/>
      <c r="O104" s="2"/>
      <c r="P104" s="5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4.25" customHeight="1">
      <c r="A105" s="7"/>
      <c r="B105" s="4"/>
      <c r="C105" s="4"/>
      <c r="D105" s="4"/>
      <c r="E105" s="4"/>
      <c r="F105" s="4"/>
      <c r="G105" s="4"/>
      <c r="H105" s="4"/>
      <c r="I105" s="4"/>
      <c r="J105" s="4"/>
      <c r="K105" s="13" t="s">
        <v>192</v>
      </c>
      <c r="L105" s="4"/>
      <c r="M105" s="4"/>
      <c r="N105" s="4"/>
      <c r="O105" s="4"/>
      <c r="P105" s="5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4.25" customHeight="1">
      <c r="A106" s="19" t="s">
        <v>193</v>
      </c>
      <c r="B106" s="10">
        <v>44050.0</v>
      </c>
      <c r="C106" s="8" t="s">
        <v>194</v>
      </c>
      <c r="D106" s="8" t="s">
        <v>40</v>
      </c>
      <c r="E106" s="8" t="s">
        <v>195</v>
      </c>
      <c r="F106" s="8" t="s">
        <v>177</v>
      </c>
      <c r="G106" s="8" t="s">
        <v>25</v>
      </c>
      <c r="H106" s="8"/>
      <c r="I106" s="8" t="s">
        <v>22</v>
      </c>
      <c r="J106" s="8" t="s">
        <v>196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4.25" customHeight="1">
      <c r="A107" s="18"/>
      <c r="B107" s="10"/>
      <c r="C107" s="8"/>
      <c r="D107" s="8"/>
      <c r="E107" s="8"/>
      <c r="F107" s="8"/>
      <c r="G107" s="8"/>
      <c r="H107" s="8"/>
      <c r="I107" s="8"/>
      <c r="J107" s="8"/>
      <c r="K107" s="2"/>
      <c r="L107" s="2"/>
      <c r="M107" s="2"/>
      <c r="N107" s="2"/>
      <c r="O107" s="2"/>
      <c r="P107" s="8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4.25" customHeight="1">
      <c r="A108" s="7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4.25" customHeight="1">
      <c r="A109" s="7" t="s">
        <v>197</v>
      </c>
      <c r="B109" s="10">
        <v>44022.0</v>
      </c>
      <c r="C109" s="8" t="s">
        <v>198</v>
      </c>
      <c r="D109" s="8" t="s">
        <v>40</v>
      </c>
      <c r="E109" s="8" t="s">
        <v>199</v>
      </c>
      <c r="F109" s="8" t="s">
        <v>177</v>
      </c>
      <c r="G109" s="8" t="s">
        <v>25</v>
      </c>
      <c r="H109" s="8"/>
      <c r="I109" s="8" t="s">
        <v>22</v>
      </c>
      <c r="J109" s="8" t="s">
        <v>200</v>
      </c>
      <c r="K109" s="8" t="s">
        <v>185</v>
      </c>
      <c r="L109" s="8"/>
      <c r="M109" s="8"/>
      <c r="N109" s="8"/>
      <c r="O109" s="8"/>
      <c r="P109" s="5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4.25" customHeight="1">
      <c r="A110" s="9"/>
      <c r="B110" s="5"/>
      <c r="C110" s="4"/>
      <c r="D110" s="4"/>
      <c r="E110" s="5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5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4.25" customHeight="1">
      <c r="A111" s="7" t="s">
        <v>201</v>
      </c>
      <c r="B111" s="10">
        <v>44022.0</v>
      </c>
      <c r="C111" s="8" t="s">
        <v>202</v>
      </c>
      <c r="D111" s="8" t="s">
        <v>40</v>
      </c>
      <c r="E111" s="8" t="s">
        <v>203</v>
      </c>
      <c r="F111" s="8" t="s">
        <v>177</v>
      </c>
      <c r="G111" s="8" t="s">
        <v>25</v>
      </c>
      <c r="H111" s="8"/>
      <c r="I111" s="8" t="s">
        <v>22</v>
      </c>
      <c r="J111" s="8" t="s">
        <v>196</v>
      </c>
      <c r="K111" s="8"/>
      <c r="L111" s="8"/>
      <c r="M111" s="8"/>
      <c r="N111" s="8"/>
      <c r="O111" s="8"/>
      <c r="P111" s="5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4.25" customHeight="1">
      <c r="A112" s="7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5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4.25" customHeight="1">
      <c r="A113" s="7" t="s">
        <v>204</v>
      </c>
      <c r="B113" s="8" t="s">
        <v>205</v>
      </c>
      <c r="C113" s="8" t="s">
        <v>206</v>
      </c>
      <c r="D113" s="8" t="s">
        <v>40</v>
      </c>
      <c r="E113" s="8"/>
      <c r="F113" s="8" t="s">
        <v>177</v>
      </c>
      <c r="G113" s="8" t="s">
        <v>25</v>
      </c>
      <c r="H113" s="8"/>
      <c r="I113" s="8" t="s">
        <v>22</v>
      </c>
      <c r="J113" s="8" t="s">
        <v>196</v>
      </c>
      <c r="K113" s="8" t="s">
        <v>207</v>
      </c>
      <c r="L113" s="8"/>
      <c r="M113" s="8"/>
      <c r="N113" s="8"/>
      <c r="O113" s="8"/>
      <c r="P113" s="5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4.25" customHeight="1">
      <c r="A114" s="7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5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4.25" customHeight="1">
      <c r="A115" s="7" t="s">
        <v>208</v>
      </c>
      <c r="B115" s="8" t="s">
        <v>209</v>
      </c>
      <c r="C115" s="20" t="s">
        <v>210</v>
      </c>
      <c r="D115" s="8" t="s">
        <v>40</v>
      </c>
      <c r="E115" s="8"/>
      <c r="F115" s="8" t="s">
        <v>177</v>
      </c>
      <c r="G115" s="8" t="s">
        <v>155</v>
      </c>
      <c r="H115" s="8"/>
      <c r="I115" s="8" t="s">
        <v>22</v>
      </c>
      <c r="J115" s="8"/>
      <c r="K115" s="8"/>
      <c r="L115" s="8"/>
      <c r="M115" s="8"/>
      <c r="N115" s="8"/>
      <c r="O115" s="8"/>
      <c r="P115" s="5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4.25" customHeight="1">
      <c r="A116" s="7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5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4.25" customHeight="1">
      <c r="A117" s="7" t="s">
        <v>211</v>
      </c>
      <c r="B117" s="8" t="s">
        <v>209</v>
      </c>
      <c r="C117" s="8" t="s">
        <v>198</v>
      </c>
      <c r="D117" s="8" t="s">
        <v>40</v>
      </c>
      <c r="E117" s="8" t="s">
        <v>212</v>
      </c>
      <c r="F117" s="8" t="s">
        <v>177</v>
      </c>
      <c r="G117" s="8" t="s">
        <v>213</v>
      </c>
      <c r="H117" s="8"/>
      <c r="I117" s="8" t="s">
        <v>214</v>
      </c>
      <c r="J117" s="8"/>
      <c r="K117" s="12" t="s">
        <v>215</v>
      </c>
      <c r="L117" s="8"/>
      <c r="M117" s="8"/>
      <c r="N117" s="8"/>
      <c r="O117" s="8"/>
      <c r="P117" s="5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4.25" customHeight="1">
      <c r="A118" s="7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5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4.25" customHeight="1">
      <c r="A119" s="7" t="s">
        <v>216</v>
      </c>
      <c r="B119" s="8" t="s">
        <v>217</v>
      </c>
      <c r="C119" s="8" t="s">
        <v>218</v>
      </c>
      <c r="D119" s="8" t="s">
        <v>40</v>
      </c>
      <c r="E119" s="8"/>
      <c r="F119" s="8" t="s">
        <v>219</v>
      </c>
      <c r="G119" s="8" t="s">
        <v>155</v>
      </c>
      <c r="H119" s="8"/>
      <c r="I119" s="8" t="s">
        <v>22</v>
      </c>
      <c r="J119" s="8"/>
      <c r="K119" s="8"/>
      <c r="L119" s="8"/>
      <c r="M119" s="8"/>
      <c r="N119" s="8"/>
      <c r="O119" s="8"/>
      <c r="P119" s="5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4.25" customHeight="1">
      <c r="A120" s="7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5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4.25" customHeight="1">
      <c r="A121" s="7" t="s">
        <v>220</v>
      </c>
      <c r="B121" s="10">
        <v>44041.0</v>
      </c>
      <c r="C121" s="8" t="s">
        <v>221</v>
      </c>
      <c r="D121" s="8" t="s">
        <v>222</v>
      </c>
      <c r="E121" s="8"/>
      <c r="F121" s="8" t="s">
        <v>223</v>
      </c>
      <c r="G121" s="8" t="s">
        <v>224</v>
      </c>
      <c r="H121" s="8"/>
      <c r="I121" s="8" t="s">
        <v>225</v>
      </c>
      <c r="J121" s="8" t="s">
        <v>226</v>
      </c>
      <c r="K121" s="8"/>
      <c r="L121" s="8"/>
      <c r="M121" s="8"/>
      <c r="N121" s="8"/>
      <c r="O121" s="8"/>
      <c r="P121" s="5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4.25" customHeight="1">
      <c r="A122" s="7"/>
      <c r="B122" s="4"/>
      <c r="C122" s="4"/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5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4.25" customHeight="1">
      <c r="A123" s="7" t="s">
        <v>227</v>
      </c>
      <c r="B123" s="10">
        <v>44041.0</v>
      </c>
      <c r="C123" s="8" t="s">
        <v>228</v>
      </c>
      <c r="D123" s="8" t="s">
        <v>222</v>
      </c>
      <c r="E123" s="8"/>
      <c r="F123" s="8" t="s">
        <v>229</v>
      </c>
      <c r="G123" s="8" t="s">
        <v>224</v>
      </c>
      <c r="H123" s="8"/>
      <c r="I123" s="8" t="s">
        <v>22</v>
      </c>
      <c r="J123" s="8" t="s">
        <v>226</v>
      </c>
      <c r="K123" s="8"/>
      <c r="L123" s="8"/>
      <c r="M123" s="8"/>
      <c r="N123" s="8"/>
      <c r="O123" s="8"/>
      <c r="P123" s="5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4.25" customHeight="1">
      <c r="A124" s="7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5"/>
      <c r="M124" s="4"/>
      <c r="N124" s="4"/>
      <c r="O124" s="4"/>
      <c r="P124" s="5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4.25" customHeight="1">
      <c r="A125" s="7" t="s">
        <v>230</v>
      </c>
      <c r="B125" s="10">
        <v>44046.0</v>
      </c>
      <c r="C125" s="8" t="s">
        <v>231</v>
      </c>
      <c r="D125" s="8" t="s">
        <v>40</v>
      </c>
      <c r="E125" s="8"/>
      <c r="F125" s="8" t="s">
        <v>232</v>
      </c>
      <c r="G125" s="8" t="s">
        <v>233</v>
      </c>
      <c r="H125" s="8"/>
      <c r="I125" s="8" t="s">
        <v>225</v>
      </c>
      <c r="J125" s="8"/>
      <c r="K125" s="12" t="s">
        <v>234</v>
      </c>
      <c r="L125" s="8" t="s">
        <v>110</v>
      </c>
      <c r="M125" s="8"/>
      <c r="N125" s="8" t="s">
        <v>29</v>
      </c>
      <c r="O125" s="8"/>
      <c r="P125" s="5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4.25" customHeight="1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1" t="s">
        <v>235</v>
      </c>
      <c r="L126" s="8" t="s">
        <v>236</v>
      </c>
      <c r="M126" s="2"/>
      <c r="N126" s="2"/>
      <c r="O126" s="2"/>
      <c r="P126" s="5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4.25" customHeight="1">
      <c r="A127" s="22"/>
      <c r="B127" s="2"/>
      <c r="C127" s="2"/>
      <c r="D127" s="2"/>
      <c r="E127" s="2"/>
      <c r="F127" s="2"/>
      <c r="G127" s="2"/>
      <c r="H127" s="2"/>
      <c r="I127" s="2"/>
      <c r="J127" s="2"/>
      <c r="K127" s="21" t="s">
        <v>237</v>
      </c>
      <c r="L127" s="2"/>
      <c r="M127" s="2"/>
      <c r="N127" s="2"/>
      <c r="O127" s="8"/>
      <c r="P127" s="5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21.0" customHeight="1">
      <c r="A128" s="2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5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7" t="s">
        <v>238</v>
      </c>
      <c r="B129" s="10">
        <v>44056.0</v>
      </c>
      <c r="C129" s="3" t="s">
        <v>239</v>
      </c>
      <c r="D129" s="8" t="s">
        <v>240</v>
      </c>
      <c r="E129" s="8"/>
      <c r="F129" s="8" t="s">
        <v>241</v>
      </c>
      <c r="G129" s="8" t="s">
        <v>242</v>
      </c>
      <c r="H129" s="8"/>
      <c r="I129" s="8" t="s">
        <v>225</v>
      </c>
      <c r="J129" s="8"/>
      <c r="K129" s="12" t="s">
        <v>243</v>
      </c>
      <c r="L129" s="8" t="s">
        <v>110</v>
      </c>
      <c r="M129" s="8" t="s">
        <v>244</v>
      </c>
      <c r="N129" s="8"/>
      <c r="O129" s="8"/>
      <c r="P129" s="5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9"/>
      <c r="B130" s="2"/>
      <c r="C130" s="8"/>
      <c r="D130" s="2"/>
      <c r="E130" s="2"/>
      <c r="F130" s="2"/>
      <c r="G130" s="2"/>
      <c r="H130" s="2"/>
      <c r="I130" s="2"/>
      <c r="J130" s="2"/>
      <c r="K130" s="12" t="s">
        <v>245</v>
      </c>
      <c r="L130" s="2"/>
      <c r="M130" s="2"/>
      <c r="N130" s="2"/>
      <c r="O130" s="2"/>
      <c r="P130" s="5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8.0" customHeight="1">
      <c r="A131" s="9"/>
      <c r="B131" s="2"/>
      <c r="C131" s="2"/>
      <c r="D131" s="2"/>
      <c r="E131" s="2"/>
      <c r="F131" s="2"/>
      <c r="G131" s="2"/>
      <c r="H131" s="2"/>
      <c r="I131" s="2"/>
      <c r="J131" s="2"/>
      <c r="K131" s="12" t="s">
        <v>246</v>
      </c>
      <c r="L131" s="2"/>
      <c r="M131" s="2"/>
      <c r="N131" s="8"/>
      <c r="O131" s="8"/>
      <c r="P131" s="5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22.5" customHeight="1">
      <c r="A132" s="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5"/>
      <c r="P132" s="5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24.75" customHeight="1">
      <c r="A133" s="7" t="s">
        <v>247</v>
      </c>
      <c r="B133" s="10">
        <v>44056.0</v>
      </c>
      <c r="C133" s="3" t="s">
        <v>239</v>
      </c>
      <c r="D133" s="8" t="s">
        <v>158</v>
      </c>
      <c r="E133" s="8"/>
      <c r="F133" s="8" t="s">
        <v>241</v>
      </c>
      <c r="G133" s="8" t="s">
        <v>242</v>
      </c>
      <c r="H133" s="8"/>
      <c r="I133" s="8" t="s">
        <v>225</v>
      </c>
      <c r="J133" s="8" t="s">
        <v>248</v>
      </c>
      <c r="K133" s="8" t="s">
        <v>249</v>
      </c>
      <c r="L133" s="8"/>
      <c r="M133" s="8"/>
      <c r="N133" s="8"/>
      <c r="O133" s="2"/>
      <c r="P133" s="5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4.25" customHeight="1">
      <c r="A134" s="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8"/>
      <c r="P134" s="5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4.25" customHeight="1">
      <c r="A135" s="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5"/>
      <c r="M135" s="4"/>
      <c r="N135" s="4"/>
      <c r="O135" s="4"/>
      <c r="P135" s="5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4.25" customHeight="1">
      <c r="A136" s="7" t="s">
        <v>250</v>
      </c>
      <c r="B136" s="10">
        <v>44062.0</v>
      </c>
      <c r="C136" s="3" t="s">
        <v>251</v>
      </c>
      <c r="D136" s="8" t="s">
        <v>40</v>
      </c>
      <c r="E136" s="8" t="s">
        <v>252</v>
      </c>
      <c r="F136" s="8" t="s">
        <v>232</v>
      </c>
      <c r="G136" s="8" t="s">
        <v>242</v>
      </c>
      <c r="H136" s="8"/>
      <c r="I136" s="8" t="s">
        <v>225</v>
      </c>
      <c r="J136" s="8"/>
      <c r="K136" s="12" t="s">
        <v>253</v>
      </c>
      <c r="L136" s="8" t="s">
        <v>254</v>
      </c>
      <c r="M136" s="8"/>
      <c r="N136" s="8"/>
      <c r="O136" s="8"/>
      <c r="P136" s="5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4.25" customHeight="1">
      <c r="A137" s="9"/>
      <c r="B137" s="2"/>
      <c r="C137" s="2"/>
      <c r="D137" s="2"/>
      <c r="E137" s="2"/>
      <c r="F137" s="2"/>
      <c r="G137" s="2"/>
      <c r="H137" s="2"/>
      <c r="I137" s="2"/>
      <c r="J137" s="2"/>
      <c r="K137" s="12" t="s">
        <v>255</v>
      </c>
      <c r="L137" s="8" t="s">
        <v>256</v>
      </c>
      <c r="M137" s="2"/>
      <c r="N137" s="2"/>
      <c r="O137" s="2"/>
      <c r="P137" s="5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4.25" customHeight="1">
      <c r="A138" s="22"/>
      <c r="B138" s="2"/>
      <c r="C138" s="2"/>
      <c r="D138" s="2"/>
      <c r="E138" s="2"/>
      <c r="F138" s="2"/>
      <c r="G138" s="2"/>
      <c r="H138" s="2"/>
      <c r="I138" s="2"/>
      <c r="J138" s="2"/>
      <c r="K138" s="21" t="s">
        <v>257</v>
      </c>
      <c r="L138" s="2"/>
      <c r="M138" s="2"/>
      <c r="N138" s="2"/>
      <c r="O138" s="2"/>
      <c r="P138" s="5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4.25" customHeight="1">
      <c r="A139" s="22"/>
      <c r="B139" s="4"/>
      <c r="C139" s="4"/>
      <c r="D139" s="4"/>
      <c r="E139" s="4"/>
      <c r="F139" s="4"/>
      <c r="G139" s="4"/>
      <c r="H139" s="4"/>
      <c r="I139" s="4"/>
      <c r="J139" s="4"/>
      <c r="K139" s="23" t="s">
        <v>258</v>
      </c>
      <c r="L139" s="4"/>
      <c r="M139" s="4"/>
      <c r="N139" s="4"/>
      <c r="O139" s="4"/>
      <c r="P139" s="5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4.25" customHeight="1">
      <c r="A140" s="7" t="s">
        <v>259</v>
      </c>
      <c r="B140" s="10">
        <v>44056.0</v>
      </c>
      <c r="C140" s="3" t="s">
        <v>260</v>
      </c>
      <c r="D140" s="8" t="s">
        <v>222</v>
      </c>
      <c r="E140" s="8"/>
      <c r="F140" s="8" t="s">
        <v>229</v>
      </c>
      <c r="G140" s="8" t="s">
        <v>242</v>
      </c>
      <c r="H140" s="8"/>
      <c r="I140" s="8" t="s">
        <v>225</v>
      </c>
      <c r="J140" s="8" t="s">
        <v>261</v>
      </c>
      <c r="K140" s="8"/>
      <c r="L140" s="8"/>
      <c r="M140" s="8"/>
      <c r="N140" s="8"/>
      <c r="O140" s="8"/>
      <c r="P140" s="5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4.25" customHeight="1">
      <c r="A141" s="7"/>
      <c r="B141" s="4"/>
      <c r="C141" s="4"/>
      <c r="D141" s="4"/>
      <c r="E141" s="4"/>
      <c r="F141" s="4"/>
      <c r="G141" s="5"/>
      <c r="H141" s="4"/>
      <c r="I141" s="4"/>
      <c r="J141" s="4"/>
      <c r="K141" s="4"/>
      <c r="L141" s="4"/>
      <c r="M141" s="4"/>
      <c r="N141" s="4"/>
      <c r="O141" s="4"/>
      <c r="P141" s="5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4.25" customHeight="1">
      <c r="A142" s="7" t="s">
        <v>262</v>
      </c>
      <c r="B142" s="10">
        <v>44067.0</v>
      </c>
      <c r="C142" s="3" t="s">
        <v>263</v>
      </c>
      <c r="D142" s="8" t="s">
        <v>40</v>
      </c>
      <c r="E142" s="24" t="s">
        <v>264</v>
      </c>
      <c r="F142" s="8" t="s">
        <v>232</v>
      </c>
      <c r="G142" s="8" t="s">
        <v>242</v>
      </c>
      <c r="H142" s="8"/>
      <c r="I142" s="8" t="s">
        <v>225</v>
      </c>
      <c r="J142" s="8" t="s">
        <v>265</v>
      </c>
      <c r="K142" s="8"/>
      <c r="L142" s="8"/>
      <c r="M142" s="8"/>
      <c r="N142" s="8"/>
      <c r="O142" s="8"/>
      <c r="P142" s="5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4.25" customHeight="1">
      <c r="A143" s="9"/>
      <c r="B143" s="5"/>
      <c r="C143" s="4"/>
      <c r="D143" s="4"/>
      <c r="E143" s="2"/>
      <c r="F143" s="4"/>
      <c r="G143" s="5"/>
      <c r="H143" s="4"/>
      <c r="I143" s="4"/>
      <c r="J143" s="4"/>
      <c r="K143" s="4"/>
      <c r="L143" s="5"/>
      <c r="M143" s="4"/>
      <c r="N143" s="4"/>
      <c r="O143" s="2"/>
      <c r="P143" s="5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4.25" customHeight="1">
      <c r="A144" s="7" t="s">
        <v>266</v>
      </c>
      <c r="B144" s="10">
        <v>44067.0</v>
      </c>
      <c r="C144" s="8" t="s">
        <v>267</v>
      </c>
      <c r="D144" s="8" t="s">
        <v>40</v>
      </c>
      <c r="E144" s="8" t="s">
        <v>268</v>
      </c>
      <c r="F144" s="8" t="s">
        <v>241</v>
      </c>
      <c r="G144" s="8" t="s">
        <v>242</v>
      </c>
      <c r="H144" s="8"/>
      <c r="I144" s="8" t="s">
        <v>225</v>
      </c>
      <c r="J144" s="8" t="s">
        <v>248</v>
      </c>
      <c r="K144" s="12" t="s">
        <v>269</v>
      </c>
      <c r="L144" s="8" t="s">
        <v>254</v>
      </c>
      <c r="M144" s="8" t="s">
        <v>127</v>
      </c>
      <c r="N144" s="8" t="s">
        <v>29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4.25" customHeight="1">
      <c r="A145" s="9"/>
      <c r="B145" s="2"/>
      <c r="C145" s="2"/>
      <c r="D145" s="2"/>
      <c r="E145" s="2"/>
      <c r="F145" s="2"/>
      <c r="G145" s="2"/>
      <c r="H145" s="2"/>
      <c r="I145" s="2"/>
      <c r="J145" s="2"/>
      <c r="K145" s="12" t="s">
        <v>270</v>
      </c>
      <c r="L145" s="8" t="s">
        <v>256</v>
      </c>
      <c r="M145" s="8"/>
      <c r="N145" s="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4.25" customHeight="1">
      <c r="A146" s="22"/>
      <c r="B146" s="2"/>
      <c r="C146" s="2"/>
      <c r="D146" s="2"/>
      <c r="E146" s="2"/>
      <c r="F146" s="2"/>
      <c r="G146" s="2"/>
      <c r="H146" s="2"/>
      <c r="I146" s="2"/>
      <c r="J146" s="2"/>
      <c r="K146" s="12" t="s">
        <v>271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4.25" customHeight="1">
      <c r="A147" s="22"/>
      <c r="B147" s="4"/>
      <c r="C147" s="4"/>
      <c r="D147" s="4"/>
      <c r="E147" s="4"/>
      <c r="F147" s="4"/>
      <c r="G147" s="4"/>
      <c r="H147" s="4"/>
      <c r="I147" s="4"/>
      <c r="J147" s="4"/>
      <c r="K147" s="5"/>
      <c r="L147" s="5"/>
      <c r="M147" s="5"/>
      <c r="N147" s="5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4.25" customHeight="1">
      <c r="A148" s="7" t="s">
        <v>272</v>
      </c>
      <c r="B148" s="10">
        <v>44113.0</v>
      </c>
      <c r="C148" s="8" t="s">
        <v>273</v>
      </c>
      <c r="D148" s="8" t="s">
        <v>40</v>
      </c>
      <c r="E148" s="8" t="s">
        <v>274</v>
      </c>
      <c r="F148" s="8" t="s">
        <v>74</v>
      </c>
      <c r="G148" s="8" t="s">
        <v>155</v>
      </c>
      <c r="H148" s="8"/>
      <c r="I148" s="8" t="s">
        <v>22</v>
      </c>
      <c r="J148" s="8"/>
      <c r="K148" s="8" t="s">
        <v>275</v>
      </c>
      <c r="L148" s="8"/>
      <c r="M148" s="8"/>
      <c r="N148" s="8"/>
      <c r="O148" s="8"/>
      <c r="P148" s="8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4.25" customHeight="1">
      <c r="A149" s="9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8"/>
      <c r="P149" s="8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4.25" customHeight="1">
      <c r="A150" s="7" t="s">
        <v>276</v>
      </c>
      <c r="B150" s="10">
        <v>44113.0</v>
      </c>
      <c r="C150" s="8" t="s">
        <v>277</v>
      </c>
      <c r="D150" s="8" t="s">
        <v>40</v>
      </c>
      <c r="E150" s="8" t="s">
        <v>278</v>
      </c>
      <c r="F150" s="8" t="s">
        <v>74</v>
      </c>
      <c r="G150" s="8" t="s">
        <v>155</v>
      </c>
      <c r="H150" s="8"/>
      <c r="I150" s="8" t="s">
        <v>22</v>
      </c>
      <c r="J150" s="8"/>
      <c r="K150" s="8" t="s">
        <v>275</v>
      </c>
      <c r="L150" s="8"/>
      <c r="M150" s="8"/>
      <c r="N150" s="8"/>
      <c r="O150" s="8"/>
      <c r="P150" s="8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4.25" customHeight="1">
      <c r="A151" s="7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8"/>
      <c r="P151" s="8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4.25" customHeight="1">
      <c r="A152" s="7" t="s">
        <v>279</v>
      </c>
      <c r="B152" s="10">
        <v>44113.0</v>
      </c>
      <c r="C152" s="8" t="s">
        <v>280</v>
      </c>
      <c r="D152" s="8" t="s">
        <v>40</v>
      </c>
      <c r="E152" s="8" t="s">
        <v>281</v>
      </c>
      <c r="F152" s="8" t="s">
        <v>74</v>
      </c>
      <c r="G152" s="8" t="s">
        <v>155</v>
      </c>
      <c r="H152" s="8"/>
      <c r="I152" s="8" t="s">
        <v>22</v>
      </c>
      <c r="J152" s="8" t="s">
        <v>282</v>
      </c>
      <c r="K152" s="8" t="s">
        <v>275</v>
      </c>
      <c r="L152" s="8"/>
      <c r="M152" s="8"/>
      <c r="N152" s="8"/>
      <c r="O152" s="8"/>
      <c r="P152" s="8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4.25" customHeight="1">
      <c r="A153" s="7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8"/>
      <c r="O153" s="8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0" customHeight="1">
      <c r="A154" s="19" t="s">
        <v>283</v>
      </c>
      <c r="B154" s="10">
        <v>44174.0</v>
      </c>
      <c r="C154" s="8" t="s">
        <v>284</v>
      </c>
      <c r="D154" s="8" t="s">
        <v>40</v>
      </c>
      <c r="E154" s="8" t="s">
        <v>285</v>
      </c>
      <c r="F154" s="8" t="s">
        <v>74</v>
      </c>
      <c r="G154" s="8" t="s">
        <v>155</v>
      </c>
      <c r="H154" s="8"/>
      <c r="I154" s="8" t="s">
        <v>22</v>
      </c>
      <c r="J154" s="8"/>
      <c r="K154" s="8" t="s">
        <v>286</v>
      </c>
      <c r="L154" s="8"/>
      <c r="M154" s="8"/>
      <c r="N154" s="8"/>
      <c r="O154" s="8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4.25" customHeight="1">
      <c r="A155" s="7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8"/>
      <c r="O155" s="8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4.25" customHeight="1">
      <c r="A156" s="19" t="s">
        <v>287</v>
      </c>
      <c r="B156" s="10">
        <v>44097.0</v>
      </c>
      <c r="C156" s="8" t="s">
        <v>288</v>
      </c>
      <c r="D156" s="8" t="s">
        <v>40</v>
      </c>
      <c r="E156" s="8" t="s">
        <v>289</v>
      </c>
      <c r="F156" s="8" t="s">
        <v>74</v>
      </c>
      <c r="G156" s="8" t="s">
        <v>155</v>
      </c>
      <c r="H156" s="8"/>
      <c r="I156" s="8" t="s">
        <v>22</v>
      </c>
      <c r="J156" s="8"/>
      <c r="K156" s="8"/>
      <c r="L156" s="8"/>
      <c r="M156" s="8"/>
      <c r="N156" s="8"/>
      <c r="O156" s="8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4.25" customHeight="1">
      <c r="A157" s="7"/>
      <c r="B157" s="5"/>
      <c r="C157" s="5"/>
      <c r="D157" s="5"/>
      <c r="E157" s="8"/>
      <c r="F157" s="5"/>
      <c r="G157" s="5"/>
      <c r="H157" s="5"/>
      <c r="I157" s="5"/>
      <c r="J157" s="5"/>
      <c r="K157" s="5"/>
      <c r="L157" s="5"/>
      <c r="M157" s="5"/>
      <c r="N157" s="8"/>
      <c r="O157" s="8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4.25" customHeight="1">
      <c r="A158" s="19" t="s">
        <v>290</v>
      </c>
      <c r="B158" s="10">
        <v>44097.0</v>
      </c>
      <c r="C158" s="8" t="s">
        <v>291</v>
      </c>
      <c r="D158" s="8" t="s">
        <v>40</v>
      </c>
      <c r="E158" s="8" t="s">
        <v>292</v>
      </c>
      <c r="F158" s="8" t="s">
        <v>74</v>
      </c>
      <c r="G158" s="8" t="s">
        <v>155</v>
      </c>
      <c r="H158" s="8"/>
      <c r="I158" s="8" t="s">
        <v>22</v>
      </c>
      <c r="J158" s="8"/>
      <c r="K158" s="8"/>
      <c r="L158" s="8"/>
      <c r="M158" s="8"/>
      <c r="N158" s="8"/>
      <c r="O158" s="8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4.25" customHeight="1">
      <c r="A159" s="7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8"/>
      <c r="O159" s="8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4.25" customHeight="1">
      <c r="A160" s="19" t="s">
        <v>293</v>
      </c>
      <c r="B160" s="10">
        <v>44097.0</v>
      </c>
      <c r="C160" s="8" t="s">
        <v>294</v>
      </c>
      <c r="D160" s="8" t="s">
        <v>40</v>
      </c>
      <c r="E160" s="8" t="s">
        <v>295</v>
      </c>
      <c r="F160" s="8" t="s">
        <v>74</v>
      </c>
      <c r="G160" s="8" t="s">
        <v>242</v>
      </c>
      <c r="H160" s="8"/>
      <c r="I160" s="8" t="s">
        <v>22</v>
      </c>
      <c r="J160" s="8" t="s">
        <v>296</v>
      </c>
      <c r="K160" s="8" t="s">
        <v>297</v>
      </c>
      <c r="L160" s="8"/>
      <c r="M160" s="8"/>
      <c r="N160" s="8"/>
      <c r="O160" s="8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4.25" customHeight="1">
      <c r="A161" s="7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8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4.25" customHeight="1">
      <c r="A162" s="19" t="s">
        <v>298</v>
      </c>
      <c r="B162" s="25">
        <v>44102.0</v>
      </c>
      <c r="C162" s="8" t="s">
        <v>299</v>
      </c>
      <c r="D162" s="8" t="s">
        <v>40</v>
      </c>
      <c r="E162" s="8" t="s">
        <v>300</v>
      </c>
      <c r="F162" s="8" t="s">
        <v>74</v>
      </c>
      <c r="G162" s="8" t="s">
        <v>242</v>
      </c>
      <c r="H162" s="8"/>
      <c r="I162" s="8" t="s">
        <v>22</v>
      </c>
      <c r="J162" s="8"/>
      <c r="K162" s="21" t="s">
        <v>301</v>
      </c>
      <c r="L162" s="8" t="s">
        <v>254</v>
      </c>
      <c r="M162" s="8"/>
      <c r="N162" s="8" t="s">
        <v>29</v>
      </c>
      <c r="O162" s="8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4.25" customHeight="1">
      <c r="A163" s="7"/>
      <c r="B163" s="2"/>
      <c r="C163" s="8"/>
      <c r="D163" s="8"/>
      <c r="E163" s="8"/>
      <c r="F163" s="8"/>
      <c r="G163" s="8"/>
      <c r="H163" s="8"/>
      <c r="I163" s="8"/>
      <c r="J163" s="8"/>
      <c r="K163" s="21" t="s">
        <v>302</v>
      </c>
      <c r="L163" s="8" t="s">
        <v>256</v>
      </c>
      <c r="M163" s="8"/>
      <c r="N163" s="8"/>
      <c r="O163" s="8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4.25" customHeight="1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8"/>
      <c r="O164" s="2"/>
      <c r="P164" s="2"/>
      <c r="Q164" s="2"/>
      <c r="R164" s="2"/>
      <c r="S164" s="2"/>
      <c r="T164" s="4"/>
      <c r="U164" s="4"/>
      <c r="V164" s="4"/>
      <c r="W164" s="4"/>
      <c r="X164" s="2"/>
      <c r="Y164" s="2"/>
      <c r="Z164" s="2"/>
      <c r="AA164" s="2"/>
      <c r="AB164" s="2"/>
      <c r="AC164" s="2"/>
    </row>
    <row r="165" ht="14.25" customHeight="1">
      <c r="A165" s="7"/>
      <c r="B165" s="4"/>
      <c r="C165" s="4"/>
      <c r="D165" s="4"/>
      <c r="E165" s="4"/>
      <c r="F165" s="4"/>
      <c r="G165" s="4"/>
      <c r="H165" s="4"/>
      <c r="I165" s="4"/>
      <c r="J165" s="5"/>
      <c r="K165" s="5"/>
      <c r="L165" s="5"/>
      <c r="M165" s="5"/>
      <c r="N165" s="5"/>
      <c r="O165" s="2"/>
      <c r="P165" s="2"/>
      <c r="Q165" s="2"/>
      <c r="R165" s="2"/>
      <c r="S165" s="2"/>
      <c r="T165" s="8"/>
      <c r="U165" s="8"/>
      <c r="V165" s="8"/>
      <c r="W165" s="8"/>
      <c r="X165" s="2"/>
      <c r="Y165" s="2"/>
      <c r="Z165" s="4"/>
      <c r="AA165" s="4"/>
      <c r="AB165" s="4"/>
      <c r="AC165" s="4"/>
    </row>
    <row r="166" ht="14.25" customHeight="1">
      <c r="A166" s="19" t="s">
        <v>303</v>
      </c>
      <c r="B166" s="25">
        <v>44102.0</v>
      </c>
      <c r="C166" s="8" t="s">
        <v>304</v>
      </c>
      <c r="D166" s="8" t="s">
        <v>40</v>
      </c>
      <c r="E166" s="8" t="s">
        <v>305</v>
      </c>
      <c r="F166" s="8" t="s">
        <v>74</v>
      </c>
      <c r="G166" s="8" t="s">
        <v>242</v>
      </c>
      <c r="H166" s="8"/>
      <c r="I166" s="8" t="s">
        <v>225</v>
      </c>
      <c r="J166" s="8"/>
      <c r="K166" s="8" t="s">
        <v>297</v>
      </c>
      <c r="L166" s="8"/>
      <c r="M166" s="8"/>
      <c r="N166" s="8"/>
      <c r="O166" s="8"/>
      <c r="P166" s="2"/>
      <c r="Q166" s="2"/>
      <c r="R166" s="4"/>
      <c r="S166" s="4"/>
      <c r="T166" s="4"/>
      <c r="U166" s="4"/>
      <c r="V166" s="4"/>
      <c r="W166" s="4"/>
      <c r="X166" s="4"/>
      <c r="Y166" s="4"/>
      <c r="Z166" s="8"/>
      <c r="AA166" s="8"/>
      <c r="AB166" s="8"/>
      <c r="AC166" s="8"/>
    </row>
    <row r="167" ht="14.25" customHeight="1">
      <c r="A167" s="7"/>
      <c r="B167" s="2"/>
      <c r="C167" s="8"/>
      <c r="D167" s="8"/>
      <c r="E167" s="8"/>
      <c r="F167" s="8"/>
      <c r="G167" s="8"/>
      <c r="H167" s="8"/>
      <c r="I167" s="8"/>
      <c r="J167" s="8"/>
      <c r="K167" s="12" t="s">
        <v>306</v>
      </c>
      <c r="L167" s="8" t="s">
        <v>307</v>
      </c>
      <c r="M167" s="8"/>
      <c r="N167" s="8"/>
      <c r="O167" s="8"/>
      <c r="P167" s="2"/>
      <c r="Q167" s="2"/>
      <c r="R167" s="8"/>
      <c r="S167" s="8"/>
      <c r="T167" s="8"/>
      <c r="U167" s="8"/>
      <c r="V167" s="8"/>
      <c r="W167" s="8"/>
      <c r="X167" s="8"/>
      <c r="Y167" s="8"/>
      <c r="Z167" s="2"/>
      <c r="AA167" s="2"/>
      <c r="AB167" s="2"/>
      <c r="AC167" s="2"/>
    </row>
    <row r="168" ht="14.25" customHeight="1">
      <c r="A168" s="26"/>
      <c r="B168" s="2"/>
      <c r="C168" s="2"/>
      <c r="D168" s="2"/>
      <c r="E168" s="2"/>
      <c r="F168" s="2"/>
      <c r="G168" s="2"/>
      <c r="H168" s="2"/>
      <c r="I168" s="2"/>
      <c r="J168" s="2"/>
      <c r="K168" s="27" t="s">
        <v>308</v>
      </c>
      <c r="L168" s="2"/>
      <c r="M168" s="8" t="s">
        <v>127</v>
      </c>
      <c r="N168" s="8"/>
      <c r="O168" s="2"/>
      <c r="P168" s="2"/>
      <c r="Q168" s="2"/>
      <c r="R168" s="4"/>
      <c r="S168" s="4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4.25" customHeight="1">
      <c r="A169" s="26"/>
      <c r="B169" s="2"/>
      <c r="C169" s="2"/>
      <c r="D169" s="2"/>
      <c r="E169" s="2"/>
      <c r="F169" s="2"/>
      <c r="G169" s="2"/>
      <c r="H169" s="2"/>
      <c r="I169" s="2"/>
      <c r="J169" s="2"/>
      <c r="K169" s="27" t="s">
        <v>309</v>
      </c>
      <c r="L169" s="2"/>
      <c r="M169" s="2"/>
      <c r="N169" s="8"/>
      <c r="O169" s="2"/>
      <c r="P169" s="2"/>
      <c r="Q169" s="2"/>
      <c r="R169" s="8"/>
      <c r="S169" s="8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4.25" customHeight="1">
      <c r="A170" s="22"/>
      <c r="B170" s="4"/>
      <c r="C170" s="4"/>
      <c r="D170" s="4"/>
      <c r="E170" s="4"/>
      <c r="F170" s="4"/>
      <c r="G170" s="4"/>
      <c r="H170" s="4"/>
      <c r="I170" s="4"/>
      <c r="J170" s="5"/>
      <c r="K170" s="5"/>
      <c r="L170" s="5"/>
      <c r="M170" s="5"/>
      <c r="N170" s="5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4.25" customHeight="1">
      <c r="A171" s="19" t="s">
        <v>310</v>
      </c>
      <c r="B171" s="25">
        <v>44102.0</v>
      </c>
      <c r="C171" s="8" t="s">
        <v>311</v>
      </c>
      <c r="D171" s="8" t="s">
        <v>40</v>
      </c>
      <c r="E171" s="8" t="s">
        <v>312</v>
      </c>
      <c r="F171" s="8" t="s">
        <v>74</v>
      </c>
      <c r="G171" s="8" t="s">
        <v>155</v>
      </c>
      <c r="H171" s="8"/>
      <c r="I171" s="8" t="s">
        <v>22</v>
      </c>
      <c r="J171" s="8"/>
      <c r="K171" s="8"/>
      <c r="L171" s="8"/>
      <c r="M171" s="8"/>
      <c r="N171" s="8"/>
      <c r="O171" s="8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4.25" customHeight="1">
      <c r="A172" s="7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8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4.25" customHeight="1">
      <c r="A173" s="9" t="s">
        <v>313</v>
      </c>
      <c r="B173" s="25">
        <v>44102.0</v>
      </c>
      <c r="C173" s="8" t="s">
        <v>314</v>
      </c>
      <c r="D173" s="8" t="s">
        <v>240</v>
      </c>
      <c r="E173" s="8" t="s">
        <v>315</v>
      </c>
      <c r="F173" s="8" t="s">
        <v>316</v>
      </c>
      <c r="G173" s="8" t="s">
        <v>242</v>
      </c>
      <c r="H173" s="8"/>
      <c r="I173" s="8" t="s">
        <v>22</v>
      </c>
      <c r="J173" s="8" t="s">
        <v>125</v>
      </c>
      <c r="K173" s="8" t="s">
        <v>297</v>
      </c>
      <c r="L173" s="8"/>
      <c r="M173" s="8"/>
      <c r="N173" s="8" t="s">
        <v>29</v>
      </c>
      <c r="O173" s="8"/>
      <c r="P173" s="4"/>
      <c r="Q173" s="4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4.25" customHeight="1">
      <c r="A174" s="18"/>
      <c r="B174" s="2"/>
      <c r="C174" s="8"/>
      <c r="D174" s="8"/>
      <c r="E174" s="8"/>
      <c r="F174" s="8"/>
      <c r="G174" s="8"/>
      <c r="H174" s="8"/>
      <c r="I174" s="8"/>
      <c r="J174" s="8"/>
      <c r="K174" s="8" t="s">
        <v>317</v>
      </c>
      <c r="L174" s="8"/>
      <c r="M174" s="8"/>
      <c r="N174" s="8"/>
      <c r="O174" s="8"/>
      <c r="P174" s="8"/>
      <c r="Q174" s="8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4.25" customHeight="1">
      <c r="A175" s="22"/>
      <c r="B175" s="2"/>
      <c r="C175" s="2"/>
      <c r="D175" s="2"/>
      <c r="E175" s="2"/>
      <c r="F175" s="2"/>
      <c r="G175" s="2"/>
      <c r="H175" s="2"/>
      <c r="I175" s="2"/>
      <c r="J175" s="2"/>
      <c r="K175" s="8" t="s">
        <v>318</v>
      </c>
      <c r="L175" s="2"/>
      <c r="M175" s="2"/>
      <c r="N175" s="2"/>
      <c r="O175" s="2"/>
      <c r="P175" s="4"/>
      <c r="Q175" s="4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4.25" customHeight="1">
      <c r="A176" s="22"/>
      <c r="B176" s="2"/>
      <c r="C176" s="2"/>
      <c r="D176" s="2"/>
      <c r="E176" s="2"/>
      <c r="F176" s="2"/>
      <c r="G176" s="2"/>
      <c r="H176" s="2"/>
      <c r="I176" s="2"/>
      <c r="J176" s="2"/>
      <c r="K176" s="8" t="s">
        <v>319</v>
      </c>
      <c r="L176" s="2"/>
      <c r="M176" s="2"/>
      <c r="N176" s="2"/>
      <c r="O176" s="2"/>
      <c r="P176" s="8"/>
      <c r="Q176" s="8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4.25" customHeight="1">
      <c r="A177" s="22"/>
      <c r="B177" s="2"/>
      <c r="C177" s="2"/>
      <c r="D177" s="2"/>
      <c r="E177" s="2"/>
      <c r="F177" s="2"/>
      <c r="G177" s="2"/>
      <c r="H177" s="2"/>
      <c r="I177" s="2"/>
      <c r="J177" s="2"/>
      <c r="K177" s="8" t="s">
        <v>320</v>
      </c>
      <c r="L177" s="8"/>
      <c r="M177" s="8"/>
      <c r="N177" s="8"/>
      <c r="O177" s="8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4.25" customHeight="1">
      <c r="A178" s="2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4.25" customHeight="1">
      <c r="A179" s="2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5"/>
      <c r="M179" s="5"/>
      <c r="N179" s="4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4.25" customHeight="1">
      <c r="A180" s="7" t="s">
        <v>321</v>
      </c>
      <c r="B180" s="25">
        <v>44106.0</v>
      </c>
      <c r="C180" s="8" t="s">
        <v>322</v>
      </c>
      <c r="D180" s="8" t="s">
        <v>40</v>
      </c>
      <c r="E180" s="8"/>
      <c r="F180" s="8" t="s">
        <v>323</v>
      </c>
      <c r="G180" s="8" t="s">
        <v>155</v>
      </c>
      <c r="H180" s="8"/>
      <c r="I180" s="8" t="s">
        <v>22</v>
      </c>
      <c r="J180" s="8"/>
      <c r="K180" s="8" t="s">
        <v>275</v>
      </c>
      <c r="L180" s="8"/>
      <c r="M180" s="8"/>
      <c r="N180" s="8"/>
      <c r="O180" s="8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4.25" customHeight="1">
      <c r="A181" s="9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8"/>
      <c r="P181" s="2"/>
      <c r="Q181" s="2"/>
      <c r="R181" s="2"/>
      <c r="S181" s="2"/>
      <c r="T181" s="2"/>
      <c r="U181" s="4"/>
      <c r="V181" s="4"/>
      <c r="W181" s="4"/>
      <c r="X181" s="4"/>
      <c r="Y181" s="4"/>
      <c r="Z181" s="4"/>
      <c r="AA181" s="4"/>
      <c r="AB181" s="4"/>
      <c r="AC181" s="4"/>
    </row>
    <row r="182" ht="14.25" customHeight="1">
      <c r="A182" s="7" t="s">
        <v>324</v>
      </c>
      <c r="B182" s="25">
        <v>44106.0</v>
      </c>
      <c r="C182" s="3" t="s">
        <v>325</v>
      </c>
      <c r="D182" s="8" t="s">
        <v>40</v>
      </c>
      <c r="E182" s="8"/>
      <c r="F182" s="8" t="s">
        <v>323</v>
      </c>
      <c r="G182" s="8" t="s">
        <v>155</v>
      </c>
      <c r="H182" s="8"/>
      <c r="I182" s="8" t="s">
        <v>22</v>
      </c>
      <c r="J182" s="8" t="s">
        <v>326</v>
      </c>
      <c r="K182" s="8" t="s">
        <v>327</v>
      </c>
      <c r="L182" s="8" t="s">
        <v>254</v>
      </c>
      <c r="M182" s="8"/>
      <c r="N182" s="8" t="s">
        <v>29</v>
      </c>
      <c r="O182" s="8"/>
      <c r="P182" s="2"/>
      <c r="Q182" s="2"/>
      <c r="R182" s="2"/>
      <c r="S182" s="2"/>
      <c r="T182" s="2"/>
      <c r="U182" s="5"/>
      <c r="V182" s="5"/>
      <c r="W182" s="5"/>
      <c r="X182" s="5"/>
      <c r="Y182" s="5"/>
      <c r="Z182" s="5"/>
      <c r="AA182" s="5"/>
      <c r="AB182" s="5"/>
      <c r="AC182" s="5"/>
    </row>
    <row r="183" ht="14.25" customHeight="1">
      <c r="A183" s="7"/>
      <c r="B183" s="2"/>
      <c r="C183" s="8"/>
      <c r="D183" s="8"/>
      <c r="E183" s="8"/>
      <c r="F183" s="8"/>
      <c r="G183" s="8"/>
      <c r="H183" s="8"/>
      <c r="I183" s="8"/>
      <c r="J183" s="8"/>
      <c r="K183" s="12" t="s">
        <v>328</v>
      </c>
      <c r="L183" s="8" t="s">
        <v>256</v>
      </c>
      <c r="M183" s="8"/>
      <c r="N183" s="8"/>
      <c r="O183" s="8"/>
      <c r="P183" s="2"/>
      <c r="Q183" s="2"/>
      <c r="R183" s="4"/>
      <c r="S183" s="4"/>
      <c r="T183" s="4"/>
      <c r="U183" s="8"/>
      <c r="V183" s="8"/>
      <c r="W183" s="8"/>
      <c r="X183" s="8"/>
      <c r="Y183" s="8"/>
      <c r="Z183" s="8"/>
      <c r="AA183" s="8"/>
      <c r="AB183" s="8"/>
      <c r="AC183" s="8"/>
    </row>
    <row r="184" ht="14.25" customHeight="1">
      <c r="A184" s="26"/>
      <c r="B184" s="2"/>
      <c r="C184" s="8"/>
      <c r="D184" s="8"/>
      <c r="E184" s="8"/>
      <c r="F184" s="8"/>
      <c r="G184" s="8"/>
      <c r="H184" s="8"/>
      <c r="I184" s="8"/>
      <c r="J184" s="8"/>
      <c r="K184" s="12" t="s">
        <v>329</v>
      </c>
      <c r="L184" s="8"/>
      <c r="M184" s="8"/>
      <c r="N184" s="8"/>
      <c r="O184" s="8"/>
      <c r="P184" s="2"/>
      <c r="Q184" s="2"/>
      <c r="R184" s="5"/>
      <c r="S184" s="5"/>
      <c r="T184" s="5"/>
      <c r="U184" s="2"/>
      <c r="V184" s="2"/>
      <c r="W184" s="2"/>
      <c r="X184" s="2"/>
      <c r="Y184" s="2"/>
      <c r="Z184" s="2"/>
      <c r="AA184" s="2"/>
      <c r="AB184" s="2"/>
      <c r="AC184" s="2"/>
    </row>
    <row r="185" ht="14.25" customHeight="1">
      <c r="A185" s="26"/>
      <c r="B185" s="2"/>
      <c r="C185" s="2"/>
      <c r="D185" s="2"/>
      <c r="E185" s="2"/>
      <c r="F185" s="2"/>
      <c r="G185" s="2"/>
      <c r="H185" s="2"/>
      <c r="I185" s="2"/>
      <c r="J185" s="2"/>
      <c r="K185" s="12" t="s">
        <v>330</v>
      </c>
      <c r="L185" s="2"/>
      <c r="M185" s="2"/>
      <c r="N185" s="2"/>
      <c r="O185" s="8"/>
      <c r="P185" s="2"/>
      <c r="Q185" s="2"/>
      <c r="R185" s="8"/>
      <c r="S185" s="8"/>
      <c r="T185" s="8"/>
      <c r="U185" s="4"/>
      <c r="V185" s="4"/>
      <c r="W185" s="4"/>
      <c r="X185" s="4"/>
      <c r="Y185" s="4"/>
      <c r="Z185" s="4"/>
      <c r="AA185" s="4"/>
      <c r="AB185" s="4"/>
      <c r="AC185" s="4"/>
    </row>
    <row r="186" ht="14.25" customHeight="1">
      <c r="A186" s="2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5"/>
      <c r="P186" s="4"/>
      <c r="Q186" s="4"/>
      <c r="R186" s="2"/>
      <c r="S186" s="2"/>
      <c r="T186" s="2"/>
      <c r="U186" s="8"/>
      <c r="V186" s="8"/>
      <c r="W186" s="8"/>
      <c r="X186" s="8"/>
      <c r="Y186" s="8"/>
      <c r="Z186" s="8"/>
      <c r="AA186" s="8"/>
      <c r="AB186" s="8"/>
      <c r="AC186" s="8"/>
    </row>
    <row r="187" ht="14.25" customHeight="1">
      <c r="A187" s="28" t="s">
        <v>331</v>
      </c>
      <c r="B187" s="29">
        <v>44140.0</v>
      </c>
      <c r="C187" s="30" t="s">
        <v>332</v>
      </c>
      <c r="D187" s="31" t="s">
        <v>333</v>
      </c>
      <c r="E187" s="31"/>
      <c r="F187" s="31" t="s">
        <v>334</v>
      </c>
      <c r="G187" s="31" t="s">
        <v>242</v>
      </c>
      <c r="H187" s="31"/>
      <c r="I187" s="31" t="s">
        <v>225</v>
      </c>
      <c r="J187" s="31"/>
      <c r="K187" s="31"/>
      <c r="L187" s="31"/>
      <c r="M187" s="31"/>
      <c r="N187" s="31"/>
      <c r="O187" s="5"/>
      <c r="P187" s="5"/>
      <c r="Q187" s="5"/>
      <c r="R187" s="5"/>
      <c r="S187" s="5"/>
      <c r="T187" s="5"/>
      <c r="U187" s="8"/>
      <c r="V187" s="8"/>
      <c r="W187" s="8"/>
      <c r="X187" s="8"/>
      <c r="Y187" s="8"/>
      <c r="Z187" s="8"/>
      <c r="AA187" s="8"/>
      <c r="AB187" s="8"/>
      <c r="AC187" s="8"/>
    </row>
    <row r="188" ht="14.25" customHeight="1">
      <c r="A188" s="18"/>
      <c r="B188" s="2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4"/>
      <c r="V188" s="4"/>
      <c r="W188" s="4"/>
      <c r="X188" s="4"/>
      <c r="Y188" s="4"/>
      <c r="Z188" s="4"/>
      <c r="AA188" s="4"/>
      <c r="AB188" s="4"/>
      <c r="AC188" s="4"/>
    </row>
    <row r="189" ht="14.25" customHeight="1">
      <c r="A189" s="7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8"/>
      <c r="P189" s="2"/>
      <c r="Q189" s="2"/>
      <c r="R189" s="2"/>
      <c r="S189" s="2"/>
      <c r="T189" s="2"/>
      <c r="U189" s="8"/>
      <c r="V189" s="8"/>
      <c r="W189" s="8"/>
      <c r="X189" s="8"/>
      <c r="Y189" s="8"/>
      <c r="Z189" s="8"/>
      <c r="AA189" s="8"/>
      <c r="AB189" s="8"/>
      <c r="AC189" s="8"/>
    </row>
    <row r="190" ht="14.25" customHeight="1">
      <c r="A190" s="32" t="s">
        <v>335</v>
      </c>
      <c r="B190" s="29">
        <v>44140.0</v>
      </c>
      <c r="C190" s="30" t="s">
        <v>336</v>
      </c>
      <c r="D190" s="31" t="s">
        <v>333</v>
      </c>
      <c r="E190" s="8"/>
      <c r="F190" s="8" t="s">
        <v>337</v>
      </c>
      <c r="G190" s="31" t="s">
        <v>242</v>
      </c>
      <c r="H190" s="8"/>
      <c r="I190" s="8" t="s">
        <v>225</v>
      </c>
      <c r="J190" s="8"/>
      <c r="K190" s="8"/>
      <c r="L190" s="8"/>
      <c r="M190" s="8"/>
      <c r="N190" s="8"/>
      <c r="O190" s="5"/>
      <c r="P190" s="5"/>
      <c r="Q190" s="5"/>
      <c r="R190" s="5"/>
      <c r="S190" s="5"/>
      <c r="T190" s="5"/>
      <c r="U190" s="8"/>
      <c r="V190" s="8"/>
      <c r="W190" s="8"/>
      <c r="X190" s="8"/>
      <c r="Y190" s="8"/>
      <c r="Z190" s="8"/>
      <c r="AA190" s="8"/>
      <c r="AB190" s="8"/>
      <c r="AC190" s="8"/>
    </row>
    <row r="191" ht="14.25" customHeight="1">
      <c r="A191" s="22"/>
      <c r="B191" s="2"/>
      <c r="C191" s="8"/>
      <c r="D191" s="2"/>
      <c r="E191" s="8"/>
      <c r="F191" s="8"/>
      <c r="G191" s="2"/>
      <c r="H191" s="2"/>
      <c r="I191" s="2"/>
      <c r="J191" s="2"/>
      <c r="K191" s="2"/>
      <c r="L191" s="8"/>
      <c r="M191" s="8"/>
      <c r="N191" s="8"/>
      <c r="O191" s="8"/>
      <c r="P191" s="8"/>
      <c r="Q191" s="8"/>
      <c r="R191" s="8"/>
      <c r="S191" s="8"/>
      <c r="T191" s="8"/>
      <c r="U191" s="2"/>
      <c r="V191" s="2"/>
      <c r="W191" s="2"/>
      <c r="X191" s="2"/>
      <c r="Y191" s="2"/>
      <c r="Z191" s="2"/>
      <c r="AA191" s="2"/>
      <c r="AB191" s="2"/>
      <c r="AC191" s="2"/>
    </row>
    <row r="192" ht="14.25" customHeight="1">
      <c r="A192" s="22"/>
      <c r="B192" s="4"/>
      <c r="C192" s="5"/>
      <c r="D192" s="4"/>
      <c r="E192" s="5"/>
      <c r="F192" s="5"/>
      <c r="G192" s="4"/>
      <c r="H192" s="4"/>
      <c r="I192" s="4"/>
      <c r="J192" s="4"/>
      <c r="K192" s="4"/>
      <c r="L192" s="5"/>
      <c r="M192" s="5"/>
      <c r="N192" s="5"/>
      <c r="O192" s="8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4.25" customHeight="1">
      <c r="A193" s="33" t="s">
        <v>338</v>
      </c>
      <c r="B193" s="29">
        <v>44140.0</v>
      </c>
      <c r="C193" s="30" t="s">
        <v>339</v>
      </c>
      <c r="D193" s="31" t="s">
        <v>333</v>
      </c>
      <c r="E193" s="8"/>
      <c r="F193" s="8" t="s">
        <v>340</v>
      </c>
      <c r="G193" s="31" t="s">
        <v>242</v>
      </c>
      <c r="H193" s="31"/>
      <c r="I193" s="31" t="s">
        <v>22</v>
      </c>
      <c r="J193" s="8"/>
      <c r="K193" s="8"/>
      <c r="L193" s="8"/>
      <c r="M193" s="8"/>
      <c r="N193" s="8"/>
      <c r="O193" s="5"/>
      <c r="P193" s="5"/>
      <c r="Q193" s="5"/>
      <c r="R193" s="8"/>
      <c r="S193" s="8"/>
      <c r="T193" s="8"/>
      <c r="U193" s="5"/>
      <c r="V193" s="5"/>
      <c r="W193" s="5"/>
      <c r="X193" s="5"/>
      <c r="Y193" s="5"/>
      <c r="Z193" s="5"/>
      <c r="AA193" s="5"/>
      <c r="AB193" s="5"/>
      <c r="AC193" s="5"/>
    </row>
    <row r="194" ht="14.25" customHeight="1">
      <c r="A194" s="22"/>
      <c r="B194" s="2"/>
      <c r="C194" s="8"/>
      <c r="D194" s="2"/>
      <c r="E194" s="8"/>
      <c r="F194" s="8"/>
      <c r="G194" s="2"/>
      <c r="H194" s="2"/>
      <c r="I194" s="2"/>
      <c r="J194" s="2"/>
      <c r="K194" s="2"/>
      <c r="L194" s="8"/>
      <c r="M194" s="8"/>
      <c r="N194" s="8"/>
      <c r="O194" s="8"/>
      <c r="P194" s="8"/>
      <c r="Q194" s="8"/>
      <c r="R194" s="2"/>
      <c r="S194" s="2"/>
      <c r="T194" s="2"/>
      <c r="U194" s="8"/>
      <c r="V194" s="8"/>
      <c r="W194" s="8"/>
      <c r="X194" s="8"/>
      <c r="Y194" s="8"/>
      <c r="Z194" s="8"/>
      <c r="AA194" s="8"/>
      <c r="AB194" s="8"/>
      <c r="AC194" s="5"/>
    </row>
    <row r="195" ht="14.25" customHeight="1">
      <c r="A195" s="22"/>
      <c r="B195" s="4"/>
      <c r="C195" s="5"/>
      <c r="D195" s="4"/>
      <c r="E195" s="5"/>
      <c r="F195" s="5"/>
      <c r="G195" s="4"/>
      <c r="H195" s="4"/>
      <c r="I195" s="4"/>
      <c r="J195" s="4"/>
      <c r="K195" s="4"/>
      <c r="L195" s="5"/>
      <c r="M195" s="5"/>
      <c r="N195" s="5"/>
      <c r="O195" s="5"/>
      <c r="P195" s="4"/>
      <c r="Q195" s="4"/>
      <c r="R195" s="4"/>
      <c r="S195" s="4"/>
      <c r="T195" s="4"/>
      <c r="U195" s="2"/>
      <c r="V195" s="2"/>
      <c r="W195" s="2"/>
      <c r="X195" s="2"/>
      <c r="Y195" s="2"/>
      <c r="Z195" s="2"/>
      <c r="AA195" s="2"/>
      <c r="AB195" s="2"/>
      <c r="AC195" s="5"/>
    </row>
    <row r="196" ht="14.25" customHeight="1">
      <c r="A196" s="33" t="s">
        <v>341</v>
      </c>
      <c r="B196" s="29">
        <v>44140.0</v>
      </c>
      <c r="C196" s="30" t="s">
        <v>342</v>
      </c>
      <c r="D196" s="31" t="s">
        <v>333</v>
      </c>
      <c r="E196" s="8"/>
      <c r="F196" s="8" t="s">
        <v>343</v>
      </c>
      <c r="G196" s="31" t="s">
        <v>242</v>
      </c>
      <c r="H196" s="31"/>
      <c r="I196" s="31" t="s">
        <v>22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5"/>
    </row>
    <row r="197" ht="14.25" customHeight="1">
      <c r="A197" s="2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5"/>
    </row>
    <row r="198" ht="14.25" customHeight="1">
      <c r="A198" s="22"/>
      <c r="B198" s="4"/>
      <c r="C198" s="4"/>
      <c r="D198" s="4"/>
      <c r="E198" s="4"/>
      <c r="F198" s="4"/>
      <c r="G198" s="4"/>
      <c r="H198" s="4"/>
      <c r="I198" s="4"/>
      <c r="J198" s="4"/>
      <c r="K198" s="5"/>
      <c r="L198" s="5"/>
      <c r="M198" s="5"/>
      <c r="N198" s="5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5"/>
    </row>
    <row r="199" ht="14.25" customHeight="1">
      <c r="A199" s="34" t="s">
        <v>344</v>
      </c>
      <c r="B199" s="25">
        <v>44140.0</v>
      </c>
      <c r="C199" s="3" t="s">
        <v>345</v>
      </c>
      <c r="D199" s="8" t="s">
        <v>346</v>
      </c>
      <c r="E199" s="5"/>
      <c r="F199" s="35" t="s">
        <v>347</v>
      </c>
      <c r="G199" s="8" t="s">
        <v>242</v>
      </c>
      <c r="H199" s="8"/>
      <c r="I199" s="8" t="s">
        <v>34</v>
      </c>
      <c r="J199" s="15" t="s">
        <v>348</v>
      </c>
      <c r="K199" s="4"/>
      <c r="L199" s="8"/>
      <c r="M199" s="8"/>
      <c r="N199" s="8"/>
      <c r="O199" s="8"/>
      <c r="P199" s="2"/>
      <c r="Q199" s="2"/>
      <c r="R199" s="2"/>
      <c r="S199" s="2"/>
      <c r="T199" s="2"/>
      <c r="U199" s="5"/>
      <c r="V199" s="5"/>
      <c r="W199" s="5"/>
      <c r="X199" s="5"/>
      <c r="Y199" s="5"/>
      <c r="Z199" s="5"/>
      <c r="AA199" s="5"/>
      <c r="AB199" s="5"/>
      <c r="AC199" s="5"/>
    </row>
    <row r="200" ht="14.25" customHeight="1">
      <c r="A200" s="2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4.25" customHeight="1">
      <c r="A201" s="22"/>
      <c r="B201" s="4"/>
      <c r="C201" s="4"/>
      <c r="D201" s="4"/>
      <c r="E201" s="4"/>
      <c r="F201" s="4"/>
      <c r="G201" s="4"/>
      <c r="H201" s="4"/>
      <c r="I201" s="4"/>
      <c r="J201" s="4"/>
      <c r="K201" s="5"/>
      <c r="L201" s="5"/>
      <c r="M201" s="5"/>
      <c r="N201" s="5"/>
      <c r="O201" s="2"/>
      <c r="P201" s="2"/>
      <c r="Q201" s="2"/>
      <c r="R201" s="5"/>
      <c r="S201" s="5"/>
      <c r="T201" s="5"/>
      <c r="U201" s="2"/>
      <c r="V201" s="2"/>
      <c r="W201" s="2"/>
      <c r="X201" s="2"/>
      <c r="Y201" s="2"/>
      <c r="Z201" s="2"/>
      <c r="AA201" s="2"/>
      <c r="AB201" s="2"/>
      <c r="AC201" s="2"/>
    </row>
    <row r="202" ht="14.25" customHeight="1">
      <c r="A202" s="34" t="s">
        <v>349</v>
      </c>
      <c r="B202" s="25">
        <v>44140.0</v>
      </c>
      <c r="C202" s="3" t="s">
        <v>350</v>
      </c>
      <c r="D202" s="8" t="s">
        <v>346</v>
      </c>
      <c r="E202" s="5"/>
      <c r="F202" s="35" t="s">
        <v>351</v>
      </c>
      <c r="G202" s="8" t="s">
        <v>242</v>
      </c>
      <c r="H202" s="8"/>
      <c r="I202" s="8" t="s">
        <v>34</v>
      </c>
      <c r="J202" s="15" t="s">
        <v>352</v>
      </c>
      <c r="K202" s="4"/>
      <c r="L202" s="8"/>
      <c r="M202" s="8"/>
      <c r="N202" s="8"/>
      <c r="O202" s="8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4.25" customHeight="1">
      <c r="A203" s="2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4.25" customHeight="1">
      <c r="A204" s="22"/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5"/>
      <c r="M204" s="5"/>
      <c r="N204" s="5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4.25" customHeight="1">
      <c r="A205" s="34" t="s">
        <v>353</v>
      </c>
      <c r="B205" s="25">
        <v>44140.0</v>
      </c>
      <c r="C205" s="3" t="s">
        <v>354</v>
      </c>
      <c r="D205" s="8" t="s">
        <v>346</v>
      </c>
      <c r="E205" s="5"/>
      <c r="F205" s="35" t="s">
        <v>355</v>
      </c>
      <c r="G205" s="8" t="s">
        <v>242</v>
      </c>
      <c r="H205" s="8"/>
      <c r="I205" s="8" t="s">
        <v>34</v>
      </c>
      <c r="J205" s="15" t="s">
        <v>356</v>
      </c>
      <c r="K205" s="4"/>
      <c r="L205" s="8"/>
      <c r="M205" s="8"/>
      <c r="N205" s="8"/>
      <c r="O205" s="8"/>
      <c r="P205" s="5"/>
      <c r="Q205" s="5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4.25" customHeight="1">
      <c r="A206" s="2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4.25" customHeight="1">
      <c r="A207" s="22"/>
      <c r="B207" s="4"/>
      <c r="C207" s="4"/>
      <c r="D207" s="4"/>
      <c r="E207" s="4"/>
      <c r="F207" s="4"/>
      <c r="G207" s="4"/>
      <c r="H207" s="4"/>
      <c r="I207" s="4"/>
      <c r="J207" s="4"/>
      <c r="K207" s="5"/>
      <c r="L207" s="5"/>
      <c r="M207" s="5"/>
      <c r="N207" s="5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4.25" customHeight="1">
      <c r="A208" s="34" t="s">
        <v>357</v>
      </c>
      <c r="B208" s="25">
        <v>44140.0</v>
      </c>
      <c r="C208" s="3" t="s">
        <v>358</v>
      </c>
      <c r="D208" s="8" t="s">
        <v>346</v>
      </c>
      <c r="E208" s="5"/>
      <c r="F208" s="35" t="s">
        <v>359</v>
      </c>
      <c r="G208" s="8" t="s">
        <v>242</v>
      </c>
      <c r="H208" s="8"/>
      <c r="I208" s="8" t="s">
        <v>34</v>
      </c>
      <c r="J208" s="15" t="s">
        <v>360</v>
      </c>
      <c r="K208" s="4"/>
      <c r="L208" s="5"/>
      <c r="M208" s="8"/>
      <c r="N208" s="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4.25" customHeight="1">
      <c r="A209" s="2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4.25" customHeight="1">
      <c r="A210" s="22"/>
      <c r="B210" s="4"/>
      <c r="C210" s="4"/>
      <c r="D210" s="4"/>
      <c r="E210" s="4"/>
      <c r="F210" s="4"/>
      <c r="G210" s="4"/>
      <c r="H210" s="4"/>
      <c r="I210" s="4"/>
      <c r="J210" s="5"/>
      <c r="K210" s="5"/>
      <c r="L210" s="5"/>
      <c r="M210" s="5"/>
      <c r="N210" s="5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4.25" customHeight="1">
      <c r="A211" s="34" t="s">
        <v>361</v>
      </c>
      <c r="B211" s="25">
        <v>44140.0</v>
      </c>
      <c r="C211" s="3" t="s">
        <v>362</v>
      </c>
      <c r="D211" s="8" t="s">
        <v>346</v>
      </c>
      <c r="E211" s="5"/>
      <c r="F211" s="35" t="s">
        <v>363</v>
      </c>
      <c r="G211" s="8" t="s">
        <v>242</v>
      </c>
      <c r="H211" s="8"/>
      <c r="I211" s="8" t="s">
        <v>34</v>
      </c>
      <c r="J211" s="15" t="s">
        <v>364</v>
      </c>
      <c r="K211" s="4"/>
      <c r="L211" s="4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4.25" customHeight="1">
      <c r="A212" s="2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4.25" customHeight="1">
      <c r="A213" s="2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4.25" customHeight="1">
      <c r="A214" s="36" t="s">
        <v>365</v>
      </c>
      <c r="B214" s="37">
        <v>44147.0</v>
      </c>
      <c r="C214" s="3" t="s">
        <v>366</v>
      </c>
      <c r="D214" s="8" t="s">
        <v>40</v>
      </c>
      <c r="E214" s="8" t="s">
        <v>367</v>
      </c>
      <c r="F214" s="8" t="s">
        <v>368</v>
      </c>
      <c r="G214" s="8" t="s">
        <v>242</v>
      </c>
      <c r="H214" s="8"/>
      <c r="I214" s="8" t="s">
        <v>22</v>
      </c>
      <c r="J214" s="8" t="s">
        <v>369</v>
      </c>
      <c r="K214" s="8"/>
      <c r="L214" s="8"/>
      <c r="M214" s="8"/>
      <c r="N214" s="8"/>
      <c r="O214" s="2"/>
      <c r="P214" s="2"/>
      <c r="Q214" s="2"/>
      <c r="R214" s="2"/>
      <c r="S214" s="2"/>
      <c r="T214" s="2"/>
      <c r="U214" s="4"/>
      <c r="V214" s="4"/>
      <c r="W214" s="4"/>
      <c r="X214" s="4"/>
      <c r="Y214" s="4"/>
      <c r="Z214" s="4"/>
      <c r="AA214" s="4"/>
      <c r="AB214" s="4"/>
      <c r="AC214" s="4"/>
    </row>
    <row r="215" ht="14.25" customHeight="1">
      <c r="A215" s="26"/>
      <c r="B215" s="2"/>
      <c r="C215" s="8" t="s">
        <v>370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8"/>
      <c r="V215" s="8"/>
      <c r="W215" s="8"/>
      <c r="X215" s="8"/>
      <c r="Y215" s="8"/>
      <c r="Z215" s="8"/>
      <c r="AA215" s="8"/>
      <c r="AB215" s="8"/>
      <c r="AC215" s="8"/>
    </row>
    <row r="216" ht="14.25" customHeight="1">
      <c r="A216" s="22" t="s">
        <v>249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2"/>
      <c r="V216" s="2"/>
      <c r="W216" s="2"/>
      <c r="X216" s="2"/>
      <c r="Y216" s="2"/>
      <c r="Z216" s="2"/>
      <c r="AA216" s="2"/>
      <c r="AB216" s="2"/>
      <c r="AC216" s="2"/>
    </row>
    <row r="217" ht="14.25" customHeight="1">
      <c r="A217" s="36" t="s">
        <v>371</v>
      </c>
      <c r="B217" s="37">
        <v>44148.0</v>
      </c>
      <c r="C217" s="3" t="s">
        <v>372</v>
      </c>
      <c r="D217" s="8" t="s">
        <v>373</v>
      </c>
      <c r="E217" s="8"/>
      <c r="F217" s="8" t="s">
        <v>97</v>
      </c>
      <c r="G217" s="8" t="s">
        <v>42</v>
      </c>
      <c r="H217" s="8"/>
      <c r="I217" s="8" t="s">
        <v>22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4"/>
      <c r="V217" s="4"/>
      <c r="W217" s="4"/>
      <c r="X217" s="4"/>
      <c r="Y217" s="4"/>
      <c r="Z217" s="4"/>
      <c r="AA217" s="4"/>
      <c r="AB217" s="4"/>
      <c r="AC217" s="4"/>
    </row>
    <row r="218" ht="14.25" customHeight="1">
      <c r="A218" s="26"/>
      <c r="B218" s="8"/>
      <c r="C218" s="8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8"/>
      <c r="V218" s="8"/>
      <c r="W218" s="8"/>
      <c r="X218" s="8"/>
      <c r="Y218" s="8"/>
      <c r="Z218" s="8"/>
      <c r="AA218" s="8"/>
      <c r="AB218" s="8"/>
      <c r="AC218" s="8"/>
    </row>
    <row r="219" ht="14.25" customHeight="1">
      <c r="A219" s="22"/>
      <c r="B219" s="5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2"/>
      <c r="V219" s="2"/>
      <c r="W219" s="2"/>
      <c r="X219" s="2"/>
      <c r="Y219" s="2"/>
      <c r="Z219" s="2"/>
      <c r="AA219" s="2"/>
      <c r="AB219" s="2"/>
      <c r="AC219" s="2"/>
    </row>
    <row r="220" ht="14.25" customHeight="1">
      <c r="A220" s="36" t="s">
        <v>374</v>
      </c>
      <c r="B220" s="37">
        <v>44148.0</v>
      </c>
      <c r="C220" s="3" t="s">
        <v>375</v>
      </c>
      <c r="D220" s="8" t="s">
        <v>373</v>
      </c>
      <c r="E220" s="8"/>
      <c r="F220" s="8" t="s">
        <v>97</v>
      </c>
      <c r="G220" s="8" t="s">
        <v>42</v>
      </c>
      <c r="H220" s="8"/>
      <c r="I220" s="8" t="s">
        <v>22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4"/>
      <c r="V220" s="4"/>
      <c r="W220" s="4"/>
      <c r="X220" s="4"/>
      <c r="Y220" s="4"/>
      <c r="Z220" s="4"/>
      <c r="AA220" s="4"/>
      <c r="AB220" s="4"/>
      <c r="AC220" s="4"/>
    </row>
    <row r="221" ht="14.25" customHeight="1">
      <c r="A221" s="26"/>
      <c r="B221" s="8"/>
      <c r="C221" s="8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8"/>
      <c r="V221" s="8"/>
      <c r="W221" s="8"/>
      <c r="X221" s="8"/>
      <c r="Y221" s="8"/>
      <c r="Z221" s="8"/>
      <c r="AA221" s="8"/>
      <c r="AB221" s="8"/>
      <c r="AC221" s="8"/>
    </row>
    <row r="222" ht="14.25" customHeight="1">
      <c r="A222" s="22"/>
      <c r="B222" s="5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2"/>
      <c r="V222" s="2"/>
      <c r="W222" s="2"/>
      <c r="X222" s="2"/>
      <c r="Y222" s="2"/>
      <c r="Z222" s="2"/>
      <c r="AA222" s="2"/>
      <c r="AB222" s="2"/>
      <c r="AC222" s="2"/>
    </row>
    <row r="223" ht="14.25" customHeight="1">
      <c r="A223" s="36" t="s">
        <v>376</v>
      </c>
      <c r="B223" s="37">
        <v>44148.0</v>
      </c>
      <c r="C223" s="3" t="s">
        <v>377</v>
      </c>
      <c r="D223" s="8" t="s">
        <v>373</v>
      </c>
      <c r="E223" s="8"/>
      <c r="F223" s="8" t="s">
        <v>97</v>
      </c>
      <c r="G223" s="8" t="s">
        <v>42</v>
      </c>
      <c r="H223" s="8"/>
      <c r="I223" s="8" t="s">
        <v>22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4"/>
      <c r="V223" s="4"/>
      <c r="W223" s="4"/>
      <c r="X223" s="4"/>
      <c r="Y223" s="4"/>
      <c r="Z223" s="4"/>
      <c r="AA223" s="4"/>
      <c r="AB223" s="4"/>
      <c r="AC223" s="4"/>
    </row>
    <row r="224" ht="14.25" customHeight="1">
      <c r="A224" s="26"/>
      <c r="B224" s="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8"/>
      <c r="V224" s="8"/>
      <c r="W224" s="8"/>
      <c r="X224" s="8"/>
      <c r="Y224" s="8"/>
      <c r="Z224" s="8"/>
      <c r="AA224" s="8"/>
      <c r="AB224" s="8"/>
      <c r="AC224" s="8"/>
    </row>
    <row r="225" ht="14.25" customHeight="1">
      <c r="A225" s="2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2"/>
      <c r="V225" s="2"/>
      <c r="W225" s="2"/>
      <c r="X225" s="2"/>
      <c r="Y225" s="2"/>
      <c r="Z225" s="2"/>
      <c r="AA225" s="2"/>
      <c r="AB225" s="2"/>
      <c r="AC225" s="2"/>
    </row>
    <row r="226" ht="14.25" customHeight="1">
      <c r="A226" s="36" t="s">
        <v>378</v>
      </c>
      <c r="B226" s="37">
        <v>44152.0</v>
      </c>
      <c r="C226" s="3" t="s">
        <v>379</v>
      </c>
      <c r="D226" s="8" t="s">
        <v>380</v>
      </c>
      <c r="E226" s="8"/>
      <c r="F226" s="8" t="s">
        <v>381</v>
      </c>
      <c r="G226" s="8" t="s">
        <v>382</v>
      </c>
      <c r="H226" s="8"/>
      <c r="I226" s="8" t="s">
        <v>22</v>
      </c>
      <c r="J226" s="8" t="s">
        <v>383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2"/>
      <c r="V226" s="2"/>
      <c r="W226" s="2"/>
      <c r="X226" s="2"/>
      <c r="Y226" s="2"/>
      <c r="Z226" s="2"/>
      <c r="AA226" s="2"/>
      <c r="AB226" s="2"/>
      <c r="AC226" s="2"/>
    </row>
    <row r="227" ht="14.25" customHeight="1">
      <c r="A227" s="2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4.25" customHeight="1">
      <c r="A228" s="22"/>
      <c r="B228" s="5"/>
      <c r="C228" s="5"/>
      <c r="D228" s="5"/>
      <c r="E228" s="5"/>
      <c r="F228" s="5"/>
      <c r="G228" s="5"/>
      <c r="H228" s="4"/>
      <c r="I228" s="4"/>
      <c r="J228" s="5"/>
      <c r="K228" s="5"/>
      <c r="L228" s="5"/>
      <c r="M228" s="5"/>
      <c r="N228" s="4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4.25" customHeight="1">
      <c r="A229" s="36" t="s">
        <v>384</v>
      </c>
      <c r="B229" s="25">
        <v>44169.0</v>
      </c>
      <c r="C229" s="3" t="s">
        <v>107</v>
      </c>
      <c r="D229" s="8" t="s">
        <v>40</v>
      </c>
      <c r="E229" s="8" t="s">
        <v>385</v>
      </c>
      <c r="F229" s="8" t="s">
        <v>386</v>
      </c>
      <c r="G229" s="8" t="s">
        <v>382</v>
      </c>
      <c r="H229" s="8"/>
      <c r="I229" s="8" t="s">
        <v>22</v>
      </c>
      <c r="J229" s="8" t="s">
        <v>387</v>
      </c>
      <c r="K229" s="8" t="s">
        <v>388</v>
      </c>
      <c r="L229" s="8" t="s">
        <v>389</v>
      </c>
      <c r="M229" s="2"/>
      <c r="N229" s="8" t="s">
        <v>29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4.25" customHeight="1">
      <c r="A230" s="26"/>
      <c r="B230" s="2"/>
      <c r="C230" s="2"/>
      <c r="D230" s="2"/>
      <c r="E230" s="2"/>
      <c r="F230" s="2"/>
      <c r="G230" s="2"/>
      <c r="H230" s="2"/>
      <c r="I230" s="2"/>
      <c r="J230" s="2"/>
      <c r="K230" s="8" t="s">
        <v>390</v>
      </c>
      <c r="L230" s="8" t="s">
        <v>391</v>
      </c>
      <c r="M230" s="2"/>
      <c r="N230" s="2"/>
      <c r="O230" s="2"/>
      <c r="P230" s="2"/>
      <c r="Q230" s="2"/>
      <c r="R230" s="2"/>
      <c r="S230" s="2"/>
      <c r="T230" s="2"/>
      <c r="U230" s="2"/>
      <c r="V230" s="8"/>
      <c r="W230" s="8"/>
      <c r="X230" s="8"/>
      <c r="Y230" s="8"/>
      <c r="Z230" s="8"/>
      <c r="AA230" s="8"/>
      <c r="AB230" s="8"/>
      <c r="AC230" s="8"/>
    </row>
    <row r="231" ht="14.25" customHeight="1">
      <c r="A231" s="26"/>
      <c r="B231" s="2"/>
      <c r="C231" s="2"/>
      <c r="D231" s="2"/>
      <c r="E231" s="2"/>
      <c r="F231" s="2"/>
      <c r="G231" s="2"/>
      <c r="H231" s="2"/>
      <c r="I231" s="2"/>
      <c r="J231" s="2"/>
      <c r="K231" s="8" t="s">
        <v>392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4.25" customHeight="1">
      <c r="A232" s="26"/>
      <c r="B232" s="2"/>
      <c r="C232" s="2"/>
      <c r="D232" s="2"/>
      <c r="E232" s="2"/>
      <c r="F232" s="2"/>
      <c r="G232" s="2"/>
      <c r="H232" s="2"/>
      <c r="I232" s="2"/>
      <c r="J232" s="2"/>
      <c r="K232" s="8" t="s">
        <v>393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4.25" customHeight="1">
      <c r="A233" s="2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8"/>
      <c r="V233" s="2"/>
      <c r="W233" s="2"/>
      <c r="X233" s="2"/>
      <c r="Y233" s="2"/>
      <c r="Z233" s="2"/>
      <c r="AA233" s="2"/>
      <c r="AB233" s="2"/>
      <c r="AC233" s="2"/>
    </row>
    <row r="234" ht="14.25" customHeight="1">
      <c r="A234" s="2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4.25" customHeight="1">
      <c r="A235" s="32" t="s">
        <v>394</v>
      </c>
      <c r="B235" s="38">
        <v>44180.0</v>
      </c>
      <c r="C235" s="30" t="s">
        <v>395</v>
      </c>
      <c r="D235" s="8" t="s">
        <v>396</v>
      </c>
      <c r="E235" s="8"/>
      <c r="F235" s="8" t="s">
        <v>386</v>
      </c>
      <c r="G235" s="31" t="s">
        <v>397</v>
      </c>
      <c r="H235" s="8"/>
      <c r="I235" s="8" t="s">
        <v>22</v>
      </c>
      <c r="J235" s="15" t="s">
        <v>398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2"/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5"/>
      <c r="M236" s="5"/>
      <c r="N236" s="4"/>
      <c r="O236" s="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4.25" customHeight="1">
      <c r="A237" s="36" t="s">
        <v>399</v>
      </c>
      <c r="B237" s="37">
        <v>44153.0</v>
      </c>
      <c r="C237" s="3" t="s">
        <v>400</v>
      </c>
      <c r="D237" s="8" t="s">
        <v>40</v>
      </c>
      <c r="E237" s="8" t="s">
        <v>401</v>
      </c>
      <c r="F237" s="8" t="s">
        <v>402</v>
      </c>
      <c r="G237" s="8" t="s">
        <v>397</v>
      </c>
      <c r="H237" s="8"/>
      <c r="I237" s="8" t="s">
        <v>225</v>
      </c>
      <c r="J237" s="8"/>
      <c r="K237" s="8" t="s">
        <v>390</v>
      </c>
      <c r="L237" s="2"/>
      <c r="M237" s="2"/>
      <c r="N237" s="8"/>
      <c r="O237" s="8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4.25" customHeight="1">
      <c r="A238" s="26"/>
      <c r="B238" s="2"/>
      <c r="C238" s="2"/>
      <c r="D238" s="2"/>
      <c r="E238" s="2"/>
      <c r="F238" s="2"/>
      <c r="G238" s="2"/>
      <c r="H238" s="2"/>
      <c r="I238" s="2"/>
      <c r="J238" s="2"/>
      <c r="K238" s="8" t="s">
        <v>403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4.25" customHeight="1">
      <c r="A239" s="2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4.25" customHeight="1">
      <c r="A240" s="2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4.25" customHeight="1">
      <c r="A241" s="36" t="s">
        <v>404</v>
      </c>
      <c r="B241" s="25">
        <v>44210.0</v>
      </c>
      <c r="C241" s="3" t="s">
        <v>405</v>
      </c>
      <c r="D241" s="8" t="s">
        <v>406</v>
      </c>
      <c r="E241" s="8"/>
      <c r="F241" s="8" t="s">
        <v>407</v>
      </c>
      <c r="G241" s="8" t="s">
        <v>242</v>
      </c>
      <c r="H241" s="8"/>
      <c r="I241" s="8" t="s">
        <v>225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ht="14.25" customHeight="1">
      <c r="A242" s="26"/>
      <c r="B242" s="2"/>
      <c r="C242" s="8"/>
      <c r="D242" s="8"/>
      <c r="E242" s="8"/>
      <c r="F242" s="8"/>
      <c r="G242" s="2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4.25" customHeight="1">
      <c r="A243" s="22"/>
      <c r="B243" s="4"/>
      <c r="C243" s="5"/>
      <c r="D243" s="5"/>
      <c r="E243" s="5"/>
      <c r="F243" s="5"/>
      <c r="G243" s="4"/>
      <c r="H243" s="5"/>
      <c r="I243" s="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4.25" customHeight="1">
      <c r="A244" s="36" t="s">
        <v>408</v>
      </c>
      <c r="B244" s="25">
        <v>44210.0</v>
      </c>
      <c r="C244" s="3" t="s">
        <v>409</v>
      </c>
      <c r="D244" s="8" t="s">
        <v>406</v>
      </c>
      <c r="E244" s="8"/>
      <c r="F244" s="8" t="s">
        <v>74</v>
      </c>
      <c r="G244" s="8" t="s">
        <v>242</v>
      </c>
      <c r="H244" s="8"/>
      <c r="I244" s="8" t="s">
        <v>225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ht="14.25" customHeight="1">
      <c r="A245" s="26"/>
      <c r="B245" s="2"/>
      <c r="C245" s="8"/>
      <c r="D245" s="8"/>
      <c r="E245" s="8"/>
      <c r="F245" s="8"/>
      <c r="G245" s="2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4.25" customHeight="1">
      <c r="A246" s="26"/>
      <c r="B246" s="2"/>
      <c r="C246" s="8"/>
      <c r="D246" s="8"/>
      <c r="E246" s="8"/>
      <c r="F246" s="8"/>
      <c r="G246" s="2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4.25" customHeight="1">
      <c r="A247" s="22"/>
      <c r="B247" s="4"/>
      <c r="C247" s="5"/>
      <c r="D247" s="5"/>
      <c r="E247" s="5"/>
      <c r="F247" s="5"/>
      <c r="G247" s="4"/>
      <c r="H247" s="5"/>
      <c r="I247" s="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4.25" customHeight="1">
      <c r="A248" s="36" t="s">
        <v>410</v>
      </c>
      <c r="B248" s="25">
        <v>44210.0</v>
      </c>
      <c r="C248" s="3" t="s">
        <v>411</v>
      </c>
      <c r="D248" s="8" t="s">
        <v>406</v>
      </c>
      <c r="E248" s="8"/>
      <c r="F248" s="8" t="s">
        <v>74</v>
      </c>
      <c r="G248" s="8" t="s">
        <v>412</v>
      </c>
      <c r="H248" s="8"/>
      <c r="I248" s="8" t="s">
        <v>225</v>
      </c>
      <c r="J248" s="8"/>
      <c r="K248" s="8" t="s">
        <v>413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ht="14.25" customHeight="1">
      <c r="A249" s="26"/>
      <c r="B249" s="2"/>
      <c r="C249" s="8"/>
      <c r="D249" s="8"/>
      <c r="E249" s="8"/>
      <c r="F249" s="8"/>
      <c r="G249" s="8"/>
      <c r="H249" s="8"/>
      <c r="I249" s="8"/>
      <c r="J249" s="2"/>
      <c r="K249" s="8" t="s">
        <v>414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4.25" customHeight="1">
      <c r="A250" s="26"/>
      <c r="B250" s="2"/>
      <c r="C250" s="8"/>
      <c r="D250" s="8"/>
      <c r="E250" s="8"/>
      <c r="F250" s="8"/>
      <c r="G250" s="8"/>
      <c r="H250" s="8"/>
      <c r="I250" s="8"/>
      <c r="J250" s="2"/>
      <c r="K250" s="8" t="s">
        <v>415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4.25" customHeight="1">
      <c r="A251" s="22"/>
      <c r="B251" s="4"/>
      <c r="C251" s="5"/>
      <c r="D251" s="5"/>
      <c r="E251" s="5"/>
      <c r="F251" s="5"/>
      <c r="G251" s="5"/>
      <c r="H251" s="5"/>
      <c r="I251" s="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4.25" customHeight="1">
      <c r="A252" s="36" t="s">
        <v>416</v>
      </c>
      <c r="B252" s="25">
        <v>44210.0</v>
      </c>
      <c r="C252" s="3" t="s">
        <v>417</v>
      </c>
      <c r="D252" s="8" t="s">
        <v>406</v>
      </c>
      <c r="E252" s="39" t="s">
        <v>418</v>
      </c>
      <c r="F252" s="8" t="s">
        <v>74</v>
      </c>
      <c r="G252" s="8" t="s">
        <v>412</v>
      </c>
      <c r="H252" s="8"/>
      <c r="I252" s="8" t="s">
        <v>225</v>
      </c>
      <c r="J252" s="8" t="s">
        <v>419</v>
      </c>
      <c r="K252" s="40" t="s">
        <v>420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4.25" customHeight="1">
      <c r="A253" s="26"/>
      <c r="B253" s="8"/>
      <c r="C253" s="2"/>
      <c r="D253" s="2"/>
      <c r="E253" s="8"/>
      <c r="F253" s="8"/>
      <c r="G253" s="8"/>
      <c r="H253" s="8"/>
      <c r="I253" s="8"/>
      <c r="J253" s="2"/>
      <c r="K253" s="8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4.25" customHeight="1">
      <c r="A254" s="26"/>
      <c r="B254" s="8"/>
      <c r="C254" s="2"/>
      <c r="D254" s="2"/>
      <c r="E254" s="2"/>
      <c r="F254" s="2"/>
      <c r="G254" s="2"/>
      <c r="H254" s="2"/>
      <c r="I254" s="2"/>
      <c r="J254" s="2"/>
      <c r="K254" s="8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4.25" customHeight="1">
      <c r="A255" s="22"/>
      <c r="B255" s="5"/>
      <c r="C255" s="4"/>
      <c r="D255" s="4"/>
      <c r="E255" s="4"/>
      <c r="F255" s="4"/>
      <c r="G255" s="4"/>
      <c r="H255" s="5"/>
      <c r="I255" s="5" t="s">
        <v>249</v>
      </c>
      <c r="J255" s="4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4.25" customHeight="1">
      <c r="A256" s="36" t="s">
        <v>421</v>
      </c>
      <c r="B256" s="25">
        <v>44223.0</v>
      </c>
      <c r="C256" s="3" t="s">
        <v>422</v>
      </c>
      <c r="D256" s="8" t="s">
        <v>373</v>
      </c>
      <c r="E256" s="8"/>
      <c r="F256" s="8" t="s">
        <v>423</v>
      </c>
      <c r="G256" s="8" t="s">
        <v>412</v>
      </c>
      <c r="H256" s="8"/>
      <c r="I256" s="8" t="s">
        <v>22</v>
      </c>
      <c r="J256" s="8" t="s">
        <v>424</v>
      </c>
      <c r="K256" s="8" t="s">
        <v>425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ht="14.25" customHeight="1">
      <c r="A257" s="26"/>
      <c r="B257" s="8"/>
      <c r="C257" s="2"/>
      <c r="D257" s="2"/>
      <c r="E257" s="2"/>
      <c r="F257" s="2"/>
      <c r="G257" s="2"/>
      <c r="H257" s="2"/>
      <c r="I257" s="2"/>
      <c r="J257" s="8" t="s">
        <v>426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4.25" customHeight="1">
      <c r="A258" s="26"/>
      <c r="B258" s="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4.25" customHeight="1">
      <c r="A259" s="22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4.25" customHeight="1">
      <c r="A260" s="36" t="s">
        <v>427</v>
      </c>
      <c r="B260" s="25">
        <v>44229.0</v>
      </c>
      <c r="C260" s="3" t="s">
        <v>428</v>
      </c>
      <c r="D260" s="8" t="s">
        <v>40</v>
      </c>
      <c r="E260" s="24" t="s">
        <v>429</v>
      </c>
      <c r="F260" s="8" t="s">
        <v>430</v>
      </c>
      <c r="G260" s="8" t="s">
        <v>242</v>
      </c>
      <c r="H260" s="8"/>
      <c r="I260" s="8" t="s">
        <v>22</v>
      </c>
      <c r="J260" s="8"/>
      <c r="K260" s="8" t="s">
        <v>425</v>
      </c>
      <c r="L260" s="8" t="s">
        <v>431</v>
      </c>
      <c r="M260" s="8"/>
      <c r="N260" s="8" t="s">
        <v>29</v>
      </c>
      <c r="O260" s="8"/>
      <c r="P260" s="8"/>
      <c r="Q260" s="8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4.25" customHeight="1">
      <c r="A261" s="26"/>
      <c r="B261" s="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4.25" customHeight="1">
      <c r="A262" s="26"/>
      <c r="B262" s="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4.25" customHeight="1">
      <c r="A263" s="22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4.25" customHeight="1">
      <c r="A264" s="36" t="s">
        <v>432</v>
      </c>
      <c r="B264" s="25">
        <v>44232.0</v>
      </c>
      <c r="C264" s="3" t="s">
        <v>433</v>
      </c>
      <c r="D264" s="8" t="s">
        <v>373</v>
      </c>
      <c r="E264" s="8"/>
      <c r="F264" s="8" t="s">
        <v>434</v>
      </c>
      <c r="G264" s="8" t="s">
        <v>435</v>
      </c>
      <c r="H264" s="8"/>
      <c r="I264" s="8" t="s">
        <v>22</v>
      </c>
      <c r="J264" s="8"/>
      <c r="K264" s="8"/>
      <c r="L264" s="8"/>
      <c r="M264" s="8"/>
      <c r="N264" s="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4.25" customHeight="1">
      <c r="A265" s="26"/>
      <c r="B265" s="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4.25" customHeight="1">
      <c r="A266" s="22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4.25" customHeight="1">
      <c r="A267" s="36" t="s">
        <v>436</v>
      </c>
      <c r="B267" s="25">
        <v>44237.0</v>
      </c>
      <c r="C267" s="3" t="s">
        <v>437</v>
      </c>
      <c r="D267" s="8" t="s">
        <v>406</v>
      </c>
      <c r="E267" s="8"/>
      <c r="F267" s="8" t="s">
        <v>74</v>
      </c>
      <c r="G267" s="8" t="s">
        <v>412</v>
      </c>
      <c r="H267" s="8"/>
      <c r="I267" s="8" t="s">
        <v>22</v>
      </c>
      <c r="J267" s="8"/>
      <c r="K267" s="8" t="s">
        <v>438</v>
      </c>
      <c r="L267" s="8"/>
      <c r="M267" s="8"/>
      <c r="N267" s="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4.25" customHeight="1">
      <c r="A268" s="26"/>
      <c r="B268" s="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4.25" customHeight="1">
      <c r="A269" s="26"/>
      <c r="B269" s="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4.25" customHeight="1">
      <c r="A270" s="26"/>
      <c r="B270" s="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4.25" customHeight="1">
      <c r="A271" s="22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4.25" customHeight="1">
      <c r="A272" s="36" t="s">
        <v>439</v>
      </c>
      <c r="B272" s="25">
        <v>44238.0</v>
      </c>
      <c r="C272" s="3" t="s">
        <v>440</v>
      </c>
      <c r="D272" s="8" t="s">
        <v>40</v>
      </c>
      <c r="E272" s="8" t="s">
        <v>441</v>
      </c>
      <c r="F272" s="8" t="s">
        <v>74</v>
      </c>
      <c r="G272" s="8" t="s">
        <v>412</v>
      </c>
      <c r="H272" s="8"/>
      <c r="I272" s="8" t="s">
        <v>225</v>
      </c>
      <c r="J272" s="8" t="s">
        <v>442</v>
      </c>
      <c r="K272" s="27" t="s">
        <v>443</v>
      </c>
      <c r="L272" s="8" t="s">
        <v>431</v>
      </c>
      <c r="M272" s="8"/>
      <c r="N272" s="8" t="s">
        <v>29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4.25" customHeight="1">
      <c r="A273" s="26"/>
      <c r="B273" s="8"/>
      <c r="C273" s="2"/>
      <c r="D273" s="8"/>
      <c r="E273" s="8"/>
      <c r="F273" s="2"/>
      <c r="G273" s="2"/>
      <c r="H273" s="2"/>
      <c r="I273" s="2"/>
      <c r="J273" s="8"/>
      <c r="K273" s="2"/>
      <c r="L273" s="8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4.25" customHeight="1">
      <c r="A274" s="26"/>
      <c r="B274" s="2"/>
      <c r="C274" s="2"/>
      <c r="D274" s="8"/>
      <c r="E274" s="8"/>
      <c r="F274" s="2"/>
      <c r="G274" s="2"/>
      <c r="H274" s="2"/>
      <c r="I274" s="2"/>
      <c r="J274" s="8"/>
      <c r="K274" s="2"/>
      <c r="L274" s="8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4.25" customHeight="1">
      <c r="A275" s="22"/>
      <c r="B275" s="4"/>
      <c r="C275" s="4"/>
      <c r="D275" s="5"/>
      <c r="E275" s="8"/>
      <c r="F275" s="4"/>
      <c r="G275" s="4"/>
      <c r="H275" s="4"/>
      <c r="I275" s="4"/>
      <c r="J275" s="5"/>
      <c r="K275" s="4"/>
      <c r="L275" s="5"/>
      <c r="M275" s="4"/>
      <c r="N275" s="4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4.25" customHeight="1">
      <c r="A276" s="36" t="s">
        <v>444</v>
      </c>
      <c r="B276" s="25">
        <v>44238.0</v>
      </c>
      <c r="C276" s="3" t="s">
        <v>440</v>
      </c>
      <c r="D276" s="8" t="s">
        <v>40</v>
      </c>
      <c r="E276" s="8" t="s">
        <v>445</v>
      </c>
      <c r="F276" s="8" t="s">
        <v>74</v>
      </c>
      <c r="G276" s="8" t="s">
        <v>412</v>
      </c>
      <c r="H276" s="8"/>
      <c r="I276" s="8" t="s">
        <v>225</v>
      </c>
      <c r="J276" s="8" t="s">
        <v>442</v>
      </c>
      <c r="K276" s="27" t="s">
        <v>446</v>
      </c>
      <c r="L276" s="8" t="s">
        <v>431</v>
      </c>
      <c r="M276" s="8"/>
      <c r="N276" s="8" t="s">
        <v>29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4.25" customHeight="1">
      <c r="A277" s="26"/>
      <c r="B277" s="8"/>
      <c r="C277" s="2"/>
      <c r="D277" s="2"/>
      <c r="E277" s="2"/>
      <c r="F277" s="2"/>
      <c r="G277" s="2"/>
      <c r="H277" s="2"/>
      <c r="I277" s="2"/>
      <c r="J277" s="2"/>
      <c r="K277" s="27" t="s">
        <v>447</v>
      </c>
      <c r="L277" s="2"/>
      <c r="M277" s="2"/>
      <c r="N277" s="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4.25" customHeight="1">
      <c r="A278" s="26"/>
      <c r="B278" s="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4.25" customHeight="1">
      <c r="A279" s="34" t="s">
        <v>249</v>
      </c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4.25" customHeight="1">
      <c r="A280" s="36" t="s">
        <v>448</v>
      </c>
      <c r="B280" s="25">
        <v>44243.0</v>
      </c>
      <c r="C280" s="3" t="s">
        <v>449</v>
      </c>
      <c r="D280" s="8" t="s">
        <v>373</v>
      </c>
      <c r="E280" s="8" t="s">
        <v>450</v>
      </c>
      <c r="F280" s="8" t="s">
        <v>74</v>
      </c>
      <c r="G280" s="8" t="s">
        <v>242</v>
      </c>
      <c r="H280" s="8"/>
      <c r="I280" s="8" t="s">
        <v>22</v>
      </c>
      <c r="J280" s="8"/>
      <c r="K280" s="8" t="s">
        <v>451</v>
      </c>
      <c r="L280" s="8" t="s">
        <v>452</v>
      </c>
      <c r="M280" s="8"/>
      <c r="N280" s="8" t="s">
        <v>29</v>
      </c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ht="14.25" customHeight="1">
      <c r="A281" s="26"/>
      <c r="B281" s="8"/>
      <c r="C281" s="8"/>
      <c r="D281" s="2"/>
      <c r="E281" s="8"/>
      <c r="F281" s="8"/>
      <c r="G281" s="2"/>
      <c r="H281" s="2"/>
      <c r="I281" s="2"/>
      <c r="J281" s="2"/>
      <c r="K281" s="8" t="s">
        <v>453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4.25" customHeight="1">
      <c r="A282" s="26"/>
      <c r="B282" s="8"/>
      <c r="C282" s="8"/>
      <c r="D282" s="2"/>
      <c r="E282" s="8"/>
      <c r="F282" s="8"/>
      <c r="G282" s="2"/>
      <c r="H282" s="2"/>
      <c r="I282" s="2"/>
      <c r="J282" s="2"/>
      <c r="K282" s="8" t="s">
        <v>454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4.25" customHeight="1">
      <c r="A283" s="22"/>
      <c r="B283" s="5"/>
      <c r="C283" s="5"/>
      <c r="D283" s="4"/>
      <c r="E283" s="5"/>
      <c r="F283" s="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4.25" customHeight="1">
      <c r="A284" s="36" t="s">
        <v>455</v>
      </c>
      <c r="B284" s="25">
        <v>44243.0</v>
      </c>
      <c r="C284" s="3" t="s">
        <v>456</v>
      </c>
      <c r="D284" s="8" t="s">
        <v>373</v>
      </c>
      <c r="E284" s="8" t="s">
        <v>457</v>
      </c>
      <c r="F284" s="8" t="s">
        <v>74</v>
      </c>
      <c r="G284" s="8" t="s">
        <v>242</v>
      </c>
      <c r="H284" s="8"/>
      <c r="I284" s="8" t="s">
        <v>22</v>
      </c>
      <c r="J284" s="8" t="s">
        <v>458</v>
      </c>
      <c r="K284" s="8" t="s">
        <v>451</v>
      </c>
      <c r="L284" s="8" t="s">
        <v>452</v>
      </c>
      <c r="M284" s="8"/>
      <c r="N284" s="8" t="s">
        <v>29</v>
      </c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ht="14.25" customHeight="1">
      <c r="A285" s="26"/>
      <c r="B285" s="8"/>
      <c r="C285" s="2"/>
      <c r="D285" s="2"/>
      <c r="E285" s="2"/>
      <c r="F285" s="2"/>
      <c r="G285" s="2"/>
      <c r="H285" s="2"/>
      <c r="I285" s="2"/>
      <c r="J285" s="2"/>
      <c r="K285" s="27" t="s">
        <v>459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4.25" customHeight="1">
      <c r="A286" s="26"/>
      <c r="B286" s="8"/>
      <c r="C286" s="2"/>
      <c r="D286" s="2"/>
      <c r="E286" s="2"/>
      <c r="F286" s="2"/>
      <c r="G286" s="2"/>
      <c r="H286" s="2"/>
      <c r="I286" s="2"/>
      <c r="J286" s="2"/>
      <c r="K286" s="27" t="s">
        <v>460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4.25" customHeight="1">
      <c r="A287" s="22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4.25" customHeight="1">
      <c r="A288" s="36" t="s">
        <v>461</v>
      </c>
      <c r="B288" s="25">
        <v>44244.0</v>
      </c>
      <c r="C288" s="3" t="s">
        <v>462</v>
      </c>
      <c r="D288" s="8" t="s">
        <v>406</v>
      </c>
      <c r="E288" s="8" t="s">
        <v>463</v>
      </c>
      <c r="F288" s="8" t="s">
        <v>74</v>
      </c>
      <c r="G288" s="8" t="s">
        <v>242</v>
      </c>
      <c r="H288" s="8"/>
      <c r="I288" s="8" t="s">
        <v>22</v>
      </c>
      <c r="J288" s="8" t="s">
        <v>464</v>
      </c>
      <c r="K288" s="8" t="s">
        <v>438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ht="14.25" customHeight="1">
      <c r="A289" s="2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4.25" customHeight="1">
      <c r="A290" s="2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4.25" customHeight="1">
      <c r="A291" s="36" t="s">
        <v>465</v>
      </c>
      <c r="B291" s="25">
        <v>44251.0</v>
      </c>
      <c r="C291" s="3" t="s">
        <v>466</v>
      </c>
      <c r="D291" s="8" t="s">
        <v>406</v>
      </c>
      <c r="E291" s="8" t="s">
        <v>467</v>
      </c>
      <c r="F291" s="8" t="s">
        <v>74</v>
      </c>
      <c r="G291" s="8"/>
      <c r="H291" s="8"/>
      <c r="I291" s="8" t="s">
        <v>225</v>
      </c>
      <c r="J291" s="8" t="s">
        <v>468</v>
      </c>
      <c r="K291" s="8" t="s">
        <v>469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ht="14.25" customHeight="1">
      <c r="A292" s="26"/>
      <c r="B292" s="2"/>
      <c r="C292" s="2"/>
      <c r="D292" s="2"/>
      <c r="E292" s="2"/>
      <c r="F292" s="2"/>
      <c r="G292" s="2"/>
      <c r="H292" s="8"/>
      <c r="I292" s="8"/>
      <c r="J292" s="2"/>
      <c r="K292" s="8" t="s">
        <v>414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4.25" customHeight="1">
      <c r="A293" s="22"/>
      <c r="B293" s="4"/>
      <c r="C293" s="4"/>
      <c r="D293" s="4"/>
      <c r="E293" s="4"/>
      <c r="F293" s="4"/>
      <c r="G293" s="4"/>
      <c r="H293" s="5"/>
      <c r="I293" s="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4.25" customHeight="1">
      <c r="A294" s="36" t="s">
        <v>470</v>
      </c>
      <c r="B294" s="25">
        <v>44251.0</v>
      </c>
      <c r="C294" s="3" t="s">
        <v>471</v>
      </c>
      <c r="D294" s="8" t="s">
        <v>406</v>
      </c>
      <c r="E294" s="8" t="s">
        <v>472</v>
      </c>
      <c r="F294" s="8"/>
      <c r="G294" s="8"/>
      <c r="H294" s="8"/>
      <c r="I294" s="8" t="s">
        <v>225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ht="14.25" customHeight="1">
      <c r="A295" s="2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4.25" customHeight="1">
      <c r="A296" s="2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4.25" customHeight="1">
      <c r="A297" s="2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6.5" customHeight="1">
      <c r="A298" s="36" t="s">
        <v>473</v>
      </c>
      <c r="B298" s="25">
        <v>44252.0</v>
      </c>
      <c r="C298" s="3" t="s">
        <v>51</v>
      </c>
      <c r="D298" s="8" t="s">
        <v>474</v>
      </c>
      <c r="E298" s="8" t="s">
        <v>475</v>
      </c>
      <c r="F298" s="8" t="s">
        <v>476</v>
      </c>
      <c r="G298" s="8" t="s">
        <v>242</v>
      </c>
      <c r="H298" s="8"/>
      <c r="I298" s="8" t="s">
        <v>22</v>
      </c>
      <c r="J298" s="8"/>
      <c r="K298" s="8" t="s">
        <v>477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ht="14.25" customHeight="1">
      <c r="A299" s="26"/>
      <c r="B299" s="2"/>
      <c r="C299" s="2"/>
      <c r="D299" s="2"/>
      <c r="E299" s="2"/>
      <c r="F299" s="2"/>
      <c r="G299" s="2"/>
      <c r="H299" s="2"/>
      <c r="I299" s="2"/>
      <c r="J299" s="2"/>
      <c r="K299" s="8" t="s">
        <v>478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4.25" customHeight="1">
      <c r="A300" s="26"/>
      <c r="B300" s="2"/>
      <c r="C300" s="2"/>
      <c r="D300" s="2"/>
      <c r="E300" s="2"/>
      <c r="F300" s="2"/>
      <c r="G300" s="2"/>
      <c r="H300" s="2"/>
      <c r="I300" s="2"/>
      <c r="J300" s="2"/>
      <c r="K300" s="8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4.25" customHeight="1">
      <c r="A301" s="34"/>
      <c r="B301" s="41"/>
      <c r="C301" s="4"/>
      <c r="D301" s="4"/>
      <c r="E301" s="5"/>
      <c r="F301" s="5"/>
      <c r="G301" s="4"/>
      <c r="H301" s="4"/>
      <c r="I301" s="4"/>
      <c r="J301" s="4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4.25" customHeight="1">
      <c r="A302" s="36" t="s">
        <v>479</v>
      </c>
      <c r="B302" s="25">
        <v>44260.0</v>
      </c>
      <c r="C302" s="3" t="s">
        <v>480</v>
      </c>
      <c r="D302" s="8" t="s">
        <v>40</v>
      </c>
      <c r="E302" s="8">
        <v>12876.0</v>
      </c>
      <c r="F302" s="8" t="s">
        <v>481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ht="14.25" customHeight="1">
      <c r="A303" s="36"/>
      <c r="B303" s="25"/>
      <c r="C303" s="8"/>
      <c r="D303" s="8"/>
      <c r="E303" s="8"/>
      <c r="F303" s="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4.25" customHeight="1">
      <c r="A304" s="22"/>
      <c r="B304" s="4"/>
      <c r="C304" s="5"/>
      <c r="D304" s="5"/>
      <c r="E304" s="5"/>
      <c r="F304" s="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4.25" customHeight="1">
      <c r="A305" s="36" t="s">
        <v>482</v>
      </c>
      <c r="B305" s="25">
        <v>44260.0</v>
      </c>
      <c r="C305" s="3" t="s">
        <v>480</v>
      </c>
      <c r="D305" s="8" t="s">
        <v>40</v>
      </c>
      <c r="E305" s="8">
        <v>11268.0</v>
      </c>
      <c r="F305" s="8" t="s">
        <v>483</v>
      </c>
      <c r="G305" s="8" t="s">
        <v>242</v>
      </c>
      <c r="H305" s="8"/>
      <c r="I305" s="8" t="s">
        <v>22</v>
      </c>
      <c r="J305" s="8" t="s">
        <v>484</v>
      </c>
      <c r="K305" s="8" t="s">
        <v>485</v>
      </c>
      <c r="L305" s="8" t="s">
        <v>486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ht="14.25" customHeight="1">
      <c r="A306" s="26" t="s">
        <v>249</v>
      </c>
      <c r="B306" s="2"/>
      <c r="C306" s="2"/>
      <c r="D306" s="2"/>
      <c r="E306" s="2"/>
      <c r="F306" s="2"/>
      <c r="G306" s="2"/>
      <c r="H306" s="2"/>
      <c r="I306" s="2"/>
      <c r="J306" s="2"/>
      <c r="K306" s="8" t="s">
        <v>318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4.25" customHeight="1">
      <c r="A307" s="26"/>
      <c r="B307" s="2"/>
      <c r="C307" s="2"/>
      <c r="D307" s="2"/>
      <c r="E307" s="2"/>
      <c r="F307" s="2"/>
      <c r="G307" s="2"/>
      <c r="H307" s="2"/>
      <c r="I307" s="2"/>
      <c r="J307" s="2"/>
      <c r="K307" s="8" t="s">
        <v>487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4.25" customHeight="1">
      <c r="A308" s="22"/>
      <c r="B308" s="4"/>
      <c r="C308" s="4"/>
      <c r="D308" s="4"/>
      <c r="E308" s="4"/>
      <c r="F308" s="4"/>
      <c r="G308" s="4"/>
      <c r="H308" s="4"/>
      <c r="I308" s="4"/>
      <c r="J308" s="4"/>
      <c r="K308" s="5" t="s">
        <v>488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4.25" customHeight="1">
      <c r="A309" s="36" t="s">
        <v>489</v>
      </c>
      <c r="B309" s="25">
        <v>44264.0</v>
      </c>
      <c r="C309" s="3" t="s">
        <v>409</v>
      </c>
      <c r="D309" s="8" t="s">
        <v>406</v>
      </c>
      <c r="E309" s="8" t="s">
        <v>490</v>
      </c>
      <c r="F309" s="8" t="s">
        <v>491</v>
      </c>
      <c r="G309" s="8" t="s">
        <v>242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ht="14.25" customHeight="1">
      <c r="A310" s="26"/>
      <c r="B310" s="8"/>
      <c r="C310" s="8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4.25" customHeight="1">
      <c r="A311" s="26"/>
      <c r="B311" s="8"/>
      <c r="C311" s="8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4.25" customHeight="1">
      <c r="A312" s="22"/>
      <c r="B312" s="5"/>
      <c r="C312" s="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4.25" customHeight="1">
      <c r="A313" s="36" t="s">
        <v>492</v>
      </c>
      <c r="B313" s="25">
        <v>44264.0</v>
      </c>
      <c r="C313" s="3" t="s">
        <v>493</v>
      </c>
      <c r="D313" s="8" t="s">
        <v>406</v>
      </c>
      <c r="E313" s="8" t="s">
        <v>494</v>
      </c>
      <c r="F313" s="8" t="s">
        <v>491</v>
      </c>
      <c r="G313" s="8" t="s">
        <v>495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ht="14.25" customHeight="1">
      <c r="A314" s="26"/>
      <c r="B314" s="8"/>
      <c r="C314" s="8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4.25" customHeight="1">
      <c r="A315" s="26"/>
      <c r="B315" s="8"/>
      <c r="C315" s="8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4.25" customHeight="1">
      <c r="A316" s="22"/>
      <c r="B316" s="5"/>
      <c r="C316" s="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4.25" customHeight="1">
      <c r="A317" s="36" t="s">
        <v>496</v>
      </c>
      <c r="B317" s="25">
        <v>44264.0</v>
      </c>
      <c r="C317" s="3" t="s">
        <v>497</v>
      </c>
      <c r="D317" s="8" t="s">
        <v>406</v>
      </c>
      <c r="E317" s="8" t="s">
        <v>498</v>
      </c>
      <c r="F317" s="8" t="s">
        <v>491</v>
      </c>
      <c r="G317" s="8" t="s">
        <v>495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ht="14.25" customHeight="1">
      <c r="A318" s="26"/>
      <c r="B318" s="8"/>
      <c r="C318" s="8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4.25" customHeight="1">
      <c r="A319" s="26"/>
      <c r="B319" s="2"/>
      <c r="C319" s="8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4.25" customHeight="1">
      <c r="A320" s="22"/>
      <c r="B320" s="4"/>
      <c r="C320" s="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4.25" customHeight="1">
      <c r="A321" s="36" t="s">
        <v>499</v>
      </c>
      <c r="B321" s="25">
        <v>44264.0</v>
      </c>
      <c r="C321" s="42" t="s">
        <v>500</v>
      </c>
      <c r="D321" s="8" t="s">
        <v>406</v>
      </c>
      <c r="E321" s="43" t="s">
        <v>501</v>
      </c>
      <c r="F321" s="8" t="s">
        <v>491</v>
      </c>
      <c r="G321" s="8"/>
      <c r="H321" s="8"/>
      <c r="I321" s="8"/>
      <c r="J321" s="8"/>
      <c r="K321" s="8" t="s">
        <v>502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ht="14.25" customHeight="1">
      <c r="A322" s="2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4.25" customHeight="1">
      <c r="A323" s="2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4.25" customHeight="1">
      <c r="A324" s="36" t="s">
        <v>503</v>
      </c>
      <c r="B324" s="25">
        <v>44271.0</v>
      </c>
      <c r="C324" s="3" t="s">
        <v>504</v>
      </c>
      <c r="D324" s="8" t="s">
        <v>406</v>
      </c>
      <c r="E324" s="8" t="s">
        <v>505</v>
      </c>
      <c r="F324" s="8" t="s">
        <v>491</v>
      </c>
      <c r="G324" s="8" t="s">
        <v>242</v>
      </c>
      <c r="H324" s="8"/>
      <c r="I324" s="8"/>
      <c r="J324" s="8" t="s">
        <v>506</v>
      </c>
      <c r="K324" s="8" t="s">
        <v>507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ht="14.25" customHeight="1">
      <c r="A325" s="26"/>
      <c r="B325" s="2"/>
      <c r="C325" s="2"/>
      <c r="D325" s="2"/>
      <c r="E325" s="2"/>
      <c r="F325" s="2"/>
      <c r="G325" s="2"/>
      <c r="H325" s="2"/>
      <c r="I325" s="2"/>
      <c r="J325" s="2"/>
      <c r="K325" s="8" t="s">
        <v>508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4.25" customHeight="1">
      <c r="A326" s="26"/>
      <c r="B326" s="2"/>
      <c r="C326" s="2"/>
      <c r="D326" s="2"/>
      <c r="E326" s="2"/>
      <c r="F326" s="2"/>
      <c r="G326" s="2"/>
      <c r="H326" s="2"/>
      <c r="I326" s="2"/>
      <c r="J326" s="2"/>
      <c r="K326" s="8" t="s">
        <v>415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4.25" customHeight="1">
      <c r="A327" s="2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4.25" customHeight="1">
      <c r="A328" s="36" t="s">
        <v>509</v>
      </c>
      <c r="B328" s="25">
        <v>44271.0</v>
      </c>
      <c r="C328" s="3" t="s">
        <v>510</v>
      </c>
      <c r="D328" s="8" t="s">
        <v>406</v>
      </c>
      <c r="E328" s="8" t="s">
        <v>511</v>
      </c>
      <c r="F328" s="8" t="s">
        <v>491</v>
      </c>
      <c r="G328" s="8" t="s">
        <v>512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ht="14.25" customHeight="1">
      <c r="A329" s="2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4.25" customHeight="1">
      <c r="A330" s="2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4.25" customHeight="1">
      <c r="A331" s="36" t="s">
        <v>513</v>
      </c>
      <c r="B331" s="25">
        <v>44273.0</v>
      </c>
      <c r="C331" s="3" t="s">
        <v>514</v>
      </c>
      <c r="D331" s="8" t="s">
        <v>40</v>
      </c>
      <c r="E331" s="8" t="s">
        <v>515</v>
      </c>
      <c r="F331" s="8"/>
      <c r="G331" s="8"/>
      <c r="H331" s="8"/>
      <c r="I331" s="8"/>
      <c r="J331" s="8" t="s">
        <v>516</v>
      </c>
      <c r="K331" s="8" t="s">
        <v>517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ht="14.25" customHeight="1">
      <c r="A332" s="26"/>
      <c r="B332" s="2"/>
      <c r="C332" s="2"/>
      <c r="D332" s="2"/>
      <c r="E332" s="2"/>
      <c r="F332" s="2"/>
      <c r="G332" s="2"/>
      <c r="H332" s="2"/>
      <c r="I332" s="2"/>
      <c r="J332" s="2"/>
      <c r="K332" s="8" t="s">
        <v>518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4.25" customHeight="1">
      <c r="A333" s="2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4.25" customHeight="1">
      <c r="A334" s="36" t="s">
        <v>519</v>
      </c>
      <c r="B334" s="25">
        <v>44273.0</v>
      </c>
      <c r="C334" s="3" t="s">
        <v>520</v>
      </c>
      <c r="D334" s="8" t="s">
        <v>40</v>
      </c>
      <c r="E334" s="8" t="s">
        <v>521</v>
      </c>
      <c r="F334" s="8"/>
      <c r="G334" s="8" t="s">
        <v>522</v>
      </c>
      <c r="H334" s="8"/>
      <c r="I334" s="8"/>
      <c r="J334" s="8"/>
      <c r="K334" s="8" t="s">
        <v>523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ht="14.25" customHeight="1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4.25" customHeight="1">
      <c r="A336" s="2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4.25" customHeight="1">
      <c r="A337" s="2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4.25" customHeight="1">
      <c r="A338" s="36" t="s">
        <v>524</v>
      </c>
      <c r="B338" s="25">
        <v>44273.0</v>
      </c>
      <c r="C338" s="3" t="s">
        <v>525</v>
      </c>
      <c r="D338" s="8" t="s">
        <v>40</v>
      </c>
      <c r="E338" s="8" t="s">
        <v>526</v>
      </c>
      <c r="F338" s="8" t="s">
        <v>527</v>
      </c>
      <c r="G338" s="8" t="s">
        <v>397</v>
      </c>
      <c r="H338" s="8"/>
      <c r="I338" s="8" t="s">
        <v>225</v>
      </c>
      <c r="J338" s="8"/>
      <c r="K338" s="8" t="s">
        <v>523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ht="14.25" customHeight="1">
      <c r="A339" s="26"/>
      <c r="B339" s="2"/>
      <c r="C339" s="8"/>
      <c r="D339" s="2"/>
      <c r="E339" s="2"/>
      <c r="F339" s="2"/>
      <c r="G339" s="2"/>
      <c r="H339" s="2"/>
      <c r="I339" s="2"/>
      <c r="J339" s="2"/>
      <c r="K339" s="8" t="s">
        <v>528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4.25" customHeight="1">
      <c r="A340" s="2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4.25" customHeight="1">
      <c r="A341" s="36" t="s">
        <v>529</v>
      </c>
      <c r="B341" s="25">
        <v>44279.0</v>
      </c>
      <c r="C341" s="3" t="s">
        <v>530</v>
      </c>
      <c r="D341" s="8" t="s">
        <v>406</v>
      </c>
      <c r="E341" s="8" t="s">
        <v>531</v>
      </c>
      <c r="F341" s="8" t="s">
        <v>527</v>
      </c>
      <c r="G341" s="8" t="s">
        <v>397</v>
      </c>
      <c r="H341" s="8"/>
      <c r="I341" s="8" t="s">
        <v>22</v>
      </c>
      <c r="J341" s="8" t="s">
        <v>532</v>
      </c>
      <c r="K341" s="8" t="s">
        <v>523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ht="14.25" customHeight="1">
      <c r="A342" s="2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4.25" customHeight="1">
      <c r="A343" s="2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4.25" customHeight="1">
      <c r="A344" s="36" t="s">
        <v>533</v>
      </c>
      <c r="B344" s="25">
        <v>44279.0</v>
      </c>
      <c r="C344" s="3" t="s">
        <v>534</v>
      </c>
      <c r="D344" s="8" t="s">
        <v>406</v>
      </c>
      <c r="E344" s="8" t="s">
        <v>535</v>
      </c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ht="14.25" customHeight="1">
      <c r="A345" s="2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4.25" customHeight="1">
      <c r="A346" s="2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4.25" customHeight="1">
      <c r="A347" s="36" t="s">
        <v>536</v>
      </c>
      <c r="B347" s="25">
        <v>44279.0</v>
      </c>
      <c r="C347" s="3" t="s">
        <v>537</v>
      </c>
      <c r="D347" s="8" t="s">
        <v>406</v>
      </c>
      <c r="E347" s="8"/>
      <c r="F347" s="8"/>
      <c r="G347" s="8"/>
      <c r="H347" s="8"/>
      <c r="I347" s="8"/>
      <c r="J347" s="8"/>
      <c r="K347" s="8" t="s">
        <v>523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ht="14.25" customHeight="1">
      <c r="A348" s="2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4.25" customHeight="1">
      <c r="A349" s="2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4.25" customHeight="1">
      <c r="A350" s="2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4.25" customHeight="1">
      <c r="A351" s="36" t="s">
        <v>538</v>
      </c>
      <c r="B351" s="25">
        <v>44299.0</v>
      </c>
      <c r="C351" s="3" t="s">
        <v>539</v>
      </c>
      <c r="D351" s="8" t="s">
        <v>406</v>
      </c>
      <c r="E351" s="8" t="s">
        <v>540</v>
      </c>
      <c r="F351" s="8" t="s">
        <v>491</v>
      </c>
      <c r="G351" s="8" t="s">
        <v>382</v>
      </c>
      <c r="H351" s="8"/>
      <c r="I351" s="8" t="s">
        <v>22</v>
      </c>
      <c r="J351" s="8"/>
      <c r="K351" s="8" t="s">
        <v>541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ht="14.25" customHeight="1">
      <c r="A352" s="26"/>
      <c r="B352" s="8"/>
      <c r="C352" s="2"/>
      <c r="D352" s="2"/>
      <c r="E352" s="2"/>
      <c r="F352" s="8"/>
      <c r="G352" s="8" t="s">
        <v>542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4.25" customHeight="1">
      <c r="A353" s="26"/>
      <c r="B353" s="8"/>
      <c r="C353" s="2"/>
      <c r="D353" s="2"/>
      <c r="E353" s="2"/>
      <c r="F353" s="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4.25" customHeight="1">
      <c r="A354" s="22"/>
      <c r="B354" s="5"/>
      <c r="C354" s="4"/>
      <c r="D354" s="4"/>
      <c r="E354" s="4"/>
      <c r="F354" s="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4.25" customHeight="1">
      <c r="A355" s="36" t="s">
        <v>543</v>
      </c>
      <c r="B355" s="25">
        <v>44299.0</v>
      </c>
      <c r="C355" s="3" t="s">
        <v>544</v>
      </c>
      <c r="D355" s="8" t="s">
        <v>406</v>
      </c>
      <c r="E355" s="8" t="s">
        <v>545</v>
      </c>
      <c r="F355" s="8" t="s">
        <v>491</v>
      </c>
      <c r="G355" s="8" t="s">
        <v>242</v>
      </c>
      <c r="H355" s="8"/>
      <c r="I355" s="8" t="s">
        <v>22</v>
      </c>
      <c r="J355" s="8" t="s">
        <v>546</v>
      </c>
      <c r="K355" s="8" t="s">
        <v>275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ht="14.25" customHeight="1">
      <c r="A356" s="26"/>
      <c r="B356" s="8"/>
      <c r="C356" s="2"/>
      <c r="D356" s="2"/>
      <c r="E356" s="2"/>
      <c r="F356" s="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4.25" customHeight="1">
      <c r="A357" s="26"/>
      <c r="B357" s="8"/>
      <c r="C357" s="2"/>
      <c r="D357" s="2"/>
      <c r="E357" s="2"/>
      <c r="F357" s="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4.25" customHeight="1">
      <c r="A358" s="22"/>
      <c r="B358" s="5"/>
      <c r="C358" s="4"/>
      <c r="D358" s="4"/>
      <c r="E358" s="4"/>
      <c r="F358" s="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4.25" customHeight="1">
      <c r="A359" s="36" t="s">
        <v>547</v>
      </c>
      <c r="B359" s="25">
        <v>44299.0</v>
      </c>
      <c r="C359" s="3" t="s">
        <v>548</v>
      </c>
      <c r="D359" s="8" t="s">
        <v>406</v>
      </c>
      <c r="E359" s="8" t="s">
        <v>549</v>
      </c>
      <c r="F359" s="8" t="s">
        <v>491</v>
      </c>
      <c r="G359" s="8" t="s">
        <v>242</v>
      </c>
      <c r="H359" s="8"/>
      <c r="I359" s="8" t="s">
        <v>22</v>
      </c>
      <c r="J359" s="8" t="s">
        <v>550</v>
      </c>
      <c r="K359" s="8" t="s">
        <v>275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ht="14.25" customHeight="1">
      <c r="A360" s="26"/>
      <c r="B360" s="8"/>
      <c r="C360" s="2"/>
      <c r="D360" s="2"/>
      <c r="E360" s="2"/>
      <c r="F360" s="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4.25" customHeight="1">
      <c r="A361" s="26"/>
      <c r="B361" s="8"/>
      <c r="C361" s="2"/>
      <c r="D361" s="2"/>
      <c r="E361" s="2"/>
      <c r="F361" s="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4.25" customHeight="1">
      <c r="A362" s="22"/>
      <c r="B362" s="5"/>
      <c r="C362" s="4"/>
      <c r="D362" s="4"/>
      <c r="E362" s="4"/>
      <c r="F362" s="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4.25" customHeight="1">
      <c r="A363" s="36" t="s">
        <v>551</v>
      </c>
      <c r="B363" s="25">
        <v>44299.0</v>
      </c>
      <c r="C363" s="3" t="s">
        <v>552</v>
      </c>
      <c r="D363" s="8" t="s">
        <v>406</v>
      </c>
      <c r="E363" s="8" t="s">
        <v>553</v>
      </c>
      <c r="F363" s="8" t="s">
        <v>491</v>
      </c>
      <c r="G363" s="8" t="s">
        <v>242</v>
      </c>
      <c r="H363" s="8"/>
      <c r="I363" s="8" t="s">
        <v>22</v>
      </c>
      <c r="J363" s="8" t="s">
        <v>554</v>
      </c>
      <c r="K363" s="8" t="s">
        <v>275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ht="14.25" customHeight="1">
      <c r="A364" s="26"/>
      <c r="B364" s="2"/>
      <c r="C364" s="2"/>
      <c r="D364" s="2"/>
      <c r="E364" s="2"/>
      <c r="F364" s="8"/>
      <c r="G364" s="2"/>
      <c r="H364" s="2"/>
      <c r="I364" s="2"/>
      <c r="J364" s="2"/>
      <c r="K364" s="8" t="s">
        <v>555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4.25" customHeight="1">
      <c r="A365" s="26"/>
      <c r="B365" s="2"/>
      <c r="C365" s="2"/>
      <c r="D365" s="2"/>
      <c r="E365" s="2"/>
      <c r="F365" s="2"/>
      <c r="G365" s="2"/>
      <c r="H365" s="2"/>
      <c r="I365" s="2"/>
      <c r="J365" s="2"/>
      <c r="K365" s="8" t="s">
        <v>556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4.25" customHeight="1">
      <c r="A366" s="2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4.25" customHeight="1">
      <c r="A367" s="36" t="s">
        <v>557</v>
      </c>
      <c r="B367" s="25">
        <v>44301.0</v>
      </c>
      <c r="C367" s="3" t="s">
        <v>514</v>
      </c>
      <c r="D367" s="8" t="s">
        <v>40</v>
      </c>
      <c r="E367" s="8" t="s">
        <v>558</v>
      </c>
      <c r="F367" s="8" t="s">
        <v>491</v>
      </c>
      <c r="G367" s="8" t="s">
        <v>382</v>
      </c>
      <c r="H367" s="8"/>
      <c r="I367" s="8" t="s">
        <v>22</v>
      </c>
      <c r="J367" s="8"/>
      <c r="K367" s="8" t="s">
        <v>559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ht="14.25" customHeight="1">
      <c r="A368" s="26"/>
      <c r="B368" s="2"/>
      <c r="C368" s="8"/>
      <c r="D368" s="2"/>
      <c r="E368" s="2"/>
      <c r="F368" s="2"/>
      <c r="G368" s="2"/>
      <c r="H368" s="2"/>
      <c r="I368" s="2"/>
      <c r="J368" s="2"/>
      <c r="K368" s="8" t="s">
        <v>560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4.25" customHeight="1">
      <c r="A369" s="26"/>
      <c r="B369" s="2"/>
      <c r="C369" s="8"/>
      <c r="D369" s="2"/>
      <c r="E369" s="2"/>
      <c r="F369" s="2"/>
      <c r="G369" s="2"/>
      <c r="H369" s="2"/>
      <c r="I369" s="2"/>
      <c r="J369" s="2"/>
      <c r="K369" s="8" t="s">
        <v>415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4.25" customHeight="1">
      <c r="A370" s="22"/>
      <c r="B370" s="4"/>
      <c r="C370" s="5"/>
      <c r="D370" s="4"/>
      <c r="E370" s="4"/>
      <c r="F370" s="4"/>
      <c r="G370" s="4"/>
      <c r="H370" s="4"/>
      <c r="I370" s="4"/>
      <c r="J370" s="4"/>
      <c r="K370" s="5" t="s">
        <v>518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4.25" customHeight="1">
      <c r="A371" s="44" t="s">
        <v>561</v>
      </c>
      <c r="B371" s="45">
        <v>44301.0</v>
      </c>
      <c r="C371" s="44" t="s">
        <v>514</v>
      </c>
      <c r="D371" s="16" t="s">
        <v>40</v>
      </c>
      <c r="E371" s="16" t="s">
        <v>562</v>
      </c>
      <c r="F371" s="16" t="s">
        <v>491</v>
      </c>
      <c r="G371" s="16" t="s">
        <v>382</v>
      </c>
      <c r="H371" s="8"/>
      <c r="I371" s="8" t="s">
        <v>22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ht="14.25" customHeight="1">
      <c r="A372" s="2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4.25" customHeight="1">
      <c r="A373" s="2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4.25" customHeight="1">
      <c r="A374" s="2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4.25" customHeight="1">
      <c r="A375" s="36" t="s">
        <v>563</v>
      </c>
      <c r="B375" s="25">
        <v>44301.0</v>
      </c>
      <c r="C375" s="3" t="s">
        <v>564</v>
      </c>
      <c r="D375" s="8" t="s">
        <v>40</v>
      </c>
      <c r="E375" s="8" t="s">
        <v>565</v>
      </c>
      <c r="F375" s="8" t="s">
        <v>566</v>
      </c>
      <c r="G375" s="8" t="s">
        <v>242</v>
      </c>
      <c r="H375" s="8"/>
      <c r="I375" s="8" t="s">
        <v>22</v>
      </c>
      <c r="J375" s="8" t="s">
        <v>567</v>
      </c>
      <c r="K375" s="8" t="s">
        <v>275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ht="14.25" customHeight="1">
      <c r="A376" s="2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4.25" customHeight="1">
      <c r="A377" s="2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4.25" customHeight="1">
      <c r="A378" s="2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4.25" customHeight="1">
      <c r="A379" s="36" t="s">
        <v>568</v>
      </c>
      <c r="B379" s="25">
        <v>44306.0</v>
      </c>
      <c r="C379" s="3" t="s">
        <v>569</v>
      </c>
      <c r="D379" s="8" t="s">
        <v>406</v>
      </c>
      <c r="E379" s="8">
        <v>2.5402189E7</v>
      </c>
      <c r="F379" s="8" t="s">
        <v>481</v>
      </c>
      <c r="G379" s="8" t="s">
        <v>242</v>
      </c>
      <c r="H379" s="8"/>
      <c r="I379" s="8" t="s">
        <v>225</v>
      </c>
      <c r="J379" s="8"/>
      <c r="K379" s="8" t="s">
        <v>570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ht="14.25" customHeight="1">
      <c r="A380" s="26"/>
      <c r="B380" s="2"/>
      <c r="C380" s="2"/>
      <c r="D380" s="2"/>
      <c r="E380" s="2"/>
      <c r="F380" s="8"/>
      <c r="G380" s="2"/>
      <c r="H380" s="8"/>
      <c r="I380" s="8"/>
      <c r="J380" s="2"/>
      <c r="K380" s="8" t="s">
        <v>158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4.25" customHeight="1">
      <c r="A381" s="22"/>
      <c r="B381" s="4"/>
      <c r="C381" s="4"/>
      <c r="D381" s="4"/>
      <c r="E381" s="4"/>
      <c r="F381" s="5"/>
      <c r="G381" s="4"/>
      <c r="H381" s="5"/>
      <c r="I381" s="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4.25" customHeight="1">
      <c r="A382" s="36" t="s">
        <v>571</v>
      </c>
      <c r="B382" s="25">
        <v>44306.0</v>
      </c>
      <c r="C382" s="3" t="s">
        <v>572</v>
      </c>
      <c r="D382" s="8" t="s">
        <v>406</v>
      </c>
      <c r="E382" s="8" t="s">
        <v>573</v>
      </c>
      <c r="F382" s="8" t="s">
        <v>481</v>
      </c>
      <c r="G382" s="8" t="s">
        <v>242</v>
      </c>
      <c r="H382" s="8"/>
      <c r="I382" s="8" t="s">
        <v>225</v>
      </c>
      <c r="J382" s="8"/>
      <c r="K382" s="8" t="s">
        <v>570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ht="14.25" customHeight="1">
      <c r="A383" s="2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4.25" customHeight="1">
      <c r="A384" s="2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4.25" customHeight="1">
      <c r="A385" s="36" t="s">
        <v>574</v>
      </c>
      <c r="B385" s="25">
        <v>44306.0</v>
      </c>
      <c r="C385" s="3" t="s">
        <v>575</v>
      </c>
      <c r="D385" s="8" t="s">
        <v>40</v>
      </c>
      <c r="E385" s="8" t="s">
        <v>576</v>
      </c>
      <c r="F385" s="8" t="s">
        <v>566</v>
      </c>
      <c r="G385" s="8" t="s">
        <v>242</v>
      </c>
      <c r="H385" s="8"/>
      <c r="I385" s="8" t="s">
        <v>225</v>
      </c>
      <c r="J385" s="1" t="s">
        <v>577</v>
      </c>
      <c r="K385" s="8" t="s">
        <v>570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ht="14.25" customHeight="1">
      <c r="A386" s="2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4.25" customHeight="1">
      <c r="A387" s="2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4.25" customHeight="1">
      <c r="A388" s="2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4.25" customHeight="1">
      <c r="A389" s="36" t="s">
        <v>578</v>
      </c>
      <c r="B389" s="25">
        <v>44306.0</v>
      </c>
      <c r="C389" s="3" t="s">
        <v>471</v>
      </c>
      <c r="D389" s="8" t="s">
        <v>406</v>
      </c>
      <c r="E389" s="8" t="s">
        <v>579</v>
      </c>
      <c r="F389" s="8" t="s">
        <v>481</v>
      </c>
      <c r="G389" s="8" t="s">
        <v>242</v>
      </c>
      <c r="H389" s="8"/>
      <c r="I389" s="8" t="s">
        <v>580</v>
      </c>
      <c r="J389" s="8"/>
      <c r="K389" s="8" t="s">
        <v>570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ht="14.25" customHeight="1">
      <c r="A390" s="2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4.25" customHeight="1">
      <c r="A391" s="2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4.25" customHeight="1">
      <c r="A392" s="2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4.25" customHeight="1">
      <c r="A393" s="36" t="s">
        <v>581</v>
      </c>
      <c r="B393" s="25">
        <v>44309.0</v>
      </c>
      <c r="C393" s="3" t="s">
        <v>239</v>
      </c>
      <c r="D393" s="8" t="s">
        <v>40</v>
      </c>
      <c r="E393" s="8" t="s">
        <v>582</v>
      </c>
      <c r="F393" s="8" t="s">
        <v>583</v>
      </c>
      <c r="G393" s="8" t="s">
        <v>242</v>
      </c>
      <c r="H393" s="8"/>
      <c r="I393" s="8" t="s">
        <v>22</v>
      </c>
      <c r="J393" s="8" t="s">
        <v>584</v>
      </c>
      <c r="K393" s="8" t="s">
        <v>327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ht="14.25" customHeight="1">
      <c r="A394" s="26"/>
      <c r="B394" s="2"/>
      <c r="C394" s="2"/>
      <c r="D394" s="2"/>
      <c r="E394" s="2"/>
      <c r="F394" s="2"/>
      <c r="G394" s="2"/>
      <c r="H394" s="2"/>
      <c r="I394" s="2"/>
      <c r="J394" s="2"/>
      <c r="K394" s="8" t="s">
        <v>560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4.25" customHeight="1">
      <c r="A395" s="2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4.25" customHeight="1">
      <c r="A396" s="2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4.25" customHeight="1">
      <c r="A397" s="36" t="s">
        <v>585</v>
      </c>
      <c r="B397" s="25">
        <v>44313.0</v>
      </c>
      <c r="C397" s="46" t="s">
        <v>586</v>
      </c>
      <c r="D397" s="8" t="s">
        <v>406</v>
      </c>
      <c r="E397" s="8"/>
      <c r="F397" s="8" t="s">
        <v>481</v>
      </c>
      <c r="G397" s="8" t="s">
        <v>242</v>
      </c>
      <c r="H397" s="8"/>
      <c r="I397" s="8" t="s">
        <v>580</v>
      </c>
      <c r="J397" s="8"/>
      <c r="K397" s="8" t="s">
        <v>570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ht="14.25" customHeight="1">
      <c r="A398" s="2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4.25" customHeight="1">
      <c r="A399" s="2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4.25" customHeight="1">
      <c r="A400" s="2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4.25" customHeight="1">
      <c r="A401" s="36" t="s">
        <v>587</v>
      </c>
      <c r="B401" s="25">
        <v>44313.0</v>
      </c>
      <c r="C401" s="3" t="s">
        <v>588</v>
      </c>
      <c r="D401" s="8" t="s">
        <v>406</v>
      </c>
      <c r="E401" s="8" t="s">
        <v>589</v>
      </c>
      <c r="F401" s="8" t="s">
        <v>590</v>
      </c>
      <c r="G401" s="8" t="s">
        <v>242</v>
      </c>
      <c r="H401" s="8"/>
      <c r="I401" s="8" t="s">
        <v>22</v>
      </c>
      <c r="J401" s="8"/>
      <c r="K401" s="8" t="s">
        <v>591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ht="14.25" customHeight="1">
      <c r="A402" s="2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4.25" customHeight="1">
      <c r="A403" s="2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4.25" customHeight="1">
      <c r="A404" s="2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4.25" customHeight="1">
      <c r="A405" s="36" t="s">
        <v>592</v>
      </c>
      <c r="B405" s="25">
        <v>44313.0</v>
      </c>
      <c r="C405" s="3" t="s">
        <v>593</v>
      </c>
      <c r="D405" s="8" t="s">
        <v>406</v>
      </c>
      <c r="E405" s="8" t="s">
        <v>594</v>
      </c>
      <c r="F405" s="8" t="s">
        <v>590</v>
      </c>
      <c r="G405" s="8" t="s">
        <v>595</v>
      </c>
      <c r="H405" s="8"/>
      <c r="I405" s="8" t="s">
        <v>22</v>
      </c>
      <c r="J405" s="8"/>
      <c r="K405" s="8" t="s">
        <v>596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ht="14.25" customHeight="1">
      <c r="A406" s="2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4.25" customHeight="1">
      <c r="A407" s="2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4.25" customHeight="1">
      <c r="A408" s="2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4.25" customHeight="1">
      <c r="A409" s="36" t="s">
        <v>597</v>
      </c>
      <c r="B409" s="25">
        <v>44313.0</v>
      </c>
      <c r="C409" s="3" t="s">
        <v>598</v>
      </c>
      <c r="D409" s="8" t="s">
        <v>406</v>
      </c>
      <c r="E409" s="8" t="s">
        <v>599</v>
      </c>
      <c r="F409" s="8" t="s">
        <v>590</v>
      </c>
      <c r="G409" s="8" t="s">
        <v>242</v>
      </c>
      <c r="H409" s="8"/>
      <c r="I409" s="8" t="s">
        <v>225</v>
      </c>
      <c r="J409" s="8" t="s">
        <v>600</v>
      </c>
      <c r="K409" s="8" t="s">
        <v>570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ht="14.25" customHeight="1">
      <c r="A410" s="2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4.25" customHeight="1">
      <c r="A411" s="2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4.25" customHeight="1">
      <c r="A412" s="2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4.25" customHeight="1">
      <c r="A413" s="36" t="s">
        <v>601</v>
      </c>
      <c r="B413" s="25">
        <v>44313.0</v>
      </c>
      <c r="C413" s="3" t="s">
        <v>602</v>
      </c>
      <c r="D413" s="8" t="s">
        <v>406</v>
      </c>
      <c r="E413" s="8" t="s">
        <v>603</v>
      </c>
      <c r="F413" s="8" t="s">
        <v>590</v>
      </c>
      <c r="G413" s="8" t="s">
        <v>242</v>
      </c>
      <c r="H413" s="8"/>
      <c r="I413" s="8" t="s">
        <v>225</v>
      </c>
      <c r="J413" s="8" t="s">
        <v>604</v>
      </c>
      <c r="K413" s="8" t="s">
        <v>570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ht="14.25" customHeight="1">
      <c r="A414" s="2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4.25" customHeight="1">
      <c r="A415" s="2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4.25" customHeight="1">
      <c r="A416" s="2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4.25" customHeight="1">
      <c r="A417" s="36" t="s">
        <v>605</v>
      </c>
      <c r="B417" s="25">
        <v>44315.0</v>
      </c>
      <c r="C417" s="46" t="s">
        <v>606</v>
      </c>
      <c r="D417" s="8" t="s">
        <v>607</v>
      </c>
      <c r="E417" s="8" t="s">
        <v>608</v>
      </c>
      <c r="F417" s="8" t="s">
        <v>609</v>
      </c>
      <c r="G417" s="8" t="s">
        <v>242</v>
      </c>
      <c r="H417" s="8"/>
      <c r="I417" s="8" t="s">
        <v>22</v>
      </c>
      <c r="J417" s="8" t="s">
        <v>610</v>
      </c>
      <c r="K417" s="8" t="s">
        <v>611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ht="14.25" customHeight="1">
      <c r="A418" s="2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4.25" customHeight="1">
      <c r="A419" s="2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4.25" customHeight="1">
      <c r="A420" s="2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4.25" customHeight="1">
      <c r="A421" s="47" t="s">
        <v>612</v>
      </c>
      <c r="B421" s="48">
        <v>44278.0</v>
      </c>
      <c r="C421" s="47" t="s">
        <v>613</v>
      </c>
      <c r="D421" s="49" t="s">
        <v>614</v>
      </c>
      <c r="E421" s="50"/>
      <c r="F421" s="49" t="s">
        <v>516</v>
      </c>
      <c r="G421" s="50"/>
      <c r="H421" s="49"/>
      <c r="I421" s="49" t="s">
        <v>22</v>
      </c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</row>
    <row r="422" ht="14.25" customHeight="1">
      <c r="A422" s="2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4.25" customHeight="1">
      <c r="A423" s="2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4.25" customHeight="1">
      <c r="A424" s="2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4.25" customHeight="1">
      <c r="A425" s="36" t="s">
        <v>615</v>
      </c>
      <c r="B425" s="25">
        <v>44320.0</v>
      </c>
      <c r="C425" s="3" t="s">
        <v>616</v>
      </c>
      <c r="D425" s="8" t="s">
        <v>406</v>
      </c>
      <c r="E425" s="51" t="s">
        <v>617</v>
      </c>
      <c r="F425" s="8" t="s">
        <v>590</v>
      </c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ht="14.25" customHeight="1">
      <c r="A426" s="26"/>
      <c r="B426" s="2"/>
      <c r="C426" s="8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4.25" customHeight="1">
      <c r="A427" s="26"/>
      <c r="B427" s="2"/>
      <c r="C427" s="8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4.25" customHeight="1">
      <c r="A428" s="22"/>
      <c r="B428" s="4"/>
      <c r="C428" s="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4.25" customHeight="1">
      <c r="A429" s="36" t="s">
        <v>618</v>
      </c>
      <c r="B429" s="25">
        <v>44320.0</v>
      </c>
      <c r="C429" s="3" t="s">
        <v>619</v>
      </c>
      <c r="D429" s="8" t="s">
        <v>406</v>
      </c>
      <c r="E429" s="51" t="s">
        <v>620</v>
      </c>
      <c r="F429" s="8" t="s">
        <v>590</v>
      </c>
      <c r="G429" s="8"/>
      <c r="H429" s="8"/>
      <c r="I429" s="8"/>
      <c r="J429" s="8"/>
      <c r="K429" s="8" t="s">
        <v>621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ht="14.25" customHeight="1">
      <c r="A430" s="26"/>
      <c r="B430" s="2"/>
      <c r="C430" s="8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4.25" customHeight="1">
      <c r="A431" s="26"/>
      <c r="B431" s="2"/>
      <c r="C431" s="8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4.25" customHeight="1">
      <c r="A432" s="22"/>
      <c r="B432" s="4"/>
      <c r="C432" s="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4.25" customHeight="1">
      <c r="A433" s="36" t="s">
        <v>622</v>
      </c>
      <c r="B433" s="25">
        <v>44320.0</v>
      </c>
      <c r="C433" s="3" t="s">
        <v>623</v>
      </c>
      <c r="D433" s="8" t="s">
        <v>406</v>
      </c>
      <c r="E433" s="51" t="s">
        <v>624</v>
      </c>
      <c r="F433" s="8" t="s">
        <v>590</v>
      </c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ht="14.25" customHeight="1">
      <c r="A434" s="26"/>
      <c r="B434" s="2"/>
      <c r="C434" s="8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4.25" customHeight="1">
      <c r="A435" s="26"/>
      <c r="B435" s="2"/>
      <c r="C435" s="8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4.25" customHeight="1">
      <c r="A436" s="22"/>
      <c r="B436" s="4"/>
      <c r="C436" s="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4.25" customHeight="1">
      <c r="A437" s="36" t="s">
        <v>625</v>
      </c>
      <c r="B437" s="25">
        <v>44320.0</v>
      </c>
      <c r="C437" s="3" t="s">
        <v>626</v>
      </c>
      <c r="D437" s="8" t="s">
        <v>406</v>
      </c>
      <c r="E437" s="51" t="s">
        <v>627</v>
      </c>
      <c r="F437" s="8" t="s">
        <v>590</v>
      </c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ht="14.25" customHeight="1">
      <c r="A438" s="26"/>
      <c r="B438" s="2"/>
      <c r="C438" s="8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4.25" customHeight="1">
      <c r="A439" s="2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4.25" customHeight="1">
      <c r="A440" s="2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4.25" customHeight="1">
      <c r="A441" s="36" t="s">
        <v>628</v>
      </c>
      <c r="B441" s="25">
        <v>44327.0</v>
      </c>
      <c r="C441" s="46" t="s">
        <v>629</v>
      </c>
      <c r="D441" s="8" t="s">
        <v>406</v>
      </c>
      <c r="E441" s="51" t="s">
        <v>630</v>
      </c>
      <c r="F441" s="8" t="s">
        <v>590</v>
      </c>
      <c r="G441" s="8" t="s">
        <v>242</v>
      </c>
      <c r="H441" s="8"/>
      <c r="I441" s="8" t="s">
        <v>225</v>
      </c>
      <c r="J441" s="8" t="s">
        <v>631</v>
      </c>
      <c r="K441" s="8" t="s">
        <v>570</v>
      </c>
      <c r="L441" s="8" t="s">
        <v>600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ht="14.25" customHeight="1">
      <c r="A442" s="2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4.25" customHeight="1">
      <c r="A443" s="2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4.25" customHeight="1">
      <c r="A444" s="2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4.25" customHeight="1">
      <c r="A445" s="36" t="s">
        <v>632</v>
      </c>
      <c r="B445" s="25">
        <v>44327.0</v>
      </c>
      <c r="C445" s="46" t="s">
        <v>633</v>
      </c>
      <c r="D445" s="8" t="s">
        <v>406</v>
      </c>
      <c r="E445" s="52" t="s">
        <v>634</v>
      </c>
      <c r="F445" s="8" t="s">
        <v>590</v>
      </c>
      <c r="G445" s="8" t="s">
        <v>242</v>
      </c>
      <c r="H445" s="8"/>
      <c r="I445" s="8" t="s">
        <v>225</v>
      </c>
      <c r="J445" s="8" t="s">
        <v>635</v>
      </c>
      <c r="K445" s="8" t="s">
        <v>570</v>
      </c>
      <c r="L445" s="8" t="s">
        <v>600</v>
      </c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ht="14.25" customHeight="1">
      <c r="A446" s="2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4.25" customHeight="1">
      <c r="A447" s="2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4.25" customHeight="1">
      <c r="A448" s="2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4.25" customHeight="1">
      <c r="A449" s="36" t="s">
        <v>636</v>
      </c>
      <c r="B449" s="25">
        <v>44327.0</v>
      </c>
      <c r="C449" s="46" t="s">
        <v>637</v>
      </c>
      <c r="D449" s="8" t="s">
        <v>406</v>
      </c>
      <c r="E449" s="51" t="s">
        <v>638</v>
      </c>
      <c r="F449" s="8" t="s">
        <v>590</v>
      </c>
      <c r="G449" s="8" t="s">
        <v>242</v>
      </c>
      <c r="H449" s="8"/>
      <c r="I449" s="8" t="s">
        <v>225</v>
      </c>
      <c r="J449" s="8" t="s">
        <v>639</v>
      </c>
      <c r="K449" s="8" t="s">
        <v>570</v>
      </c>
      <c r="L449" s="8" t="s">
        <v>600</v>
      </c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ht="14.25" customHeight="1">
      <c r="A450" s="2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4.25" customHeight="1">
      <c r="A451" s="2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4.25" customHeight="1">
      <c r="A452" s="2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4.25" customHeight="1">
      <c r="A453" s="36" t="s">
        <v>640</v>
      </c>
      <c r="B453" s="25">
        <v>44327.0</v>
      </c>
      <c r="C453" s="46" t="s">
        <v>641</v>
      </c>
      <c r="D453" s="8" t="s">
        <v>406</v>
      </c>
      <c r="E453" s="8" t="s">
        <v>642</v>
      </c>
      <c r="F453" s="8" t="s">
        <v>590</v>
      </c>
      <c r="G453" s="8" t="s">
        <v>242</v>
      </c>
      <c r="H453" s="8"/>
      <c r="I453" s="8" t="s">
        <v>225</v>
      </c>
      <c r="J453" s="8" t="s">
        <v>643</v>
      </c>
      <c r="K453" s="8" t="s">
        <v>570</v>
      </c>
      <c r="L453" s="8" t="s">
        <v>600</v>
      </c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ht="14.25" customHeight="1">
      <c r="A454" s="2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4.25" customHeight="1">
      <c r="A455" s="2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4.25" customHeight="1">
      <c r="A456" s="2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4.25" customHeight="1">
      <c r="A457" s="36" t="s">
        <v>644</v>
      </c>
      <c r="B457" s="25">
        <v>44327.0</v>
      </c>
      <c r="C457" s="46" t="s">
        <v>645</v>
      </c>
      <c r="D457" s="8" t="s">
        <v>406</v>
      </c>
      <c r="E457" s="8" t="s">
        <v>646</v>
      </c>
      <c r="F457" s="8" t="s">
        <v>590</v>
      </c>
      <c r="G457" s="8" t="s">
        <v>242</v>
      </c>
      <c r="H457" s="8"/>
      <c r="I457" s="8" t="s">
        <v>225</v>
      </c>
      <c r="J457" s="8" t="s">
        <v>647</v>
      </c>
      <c r="K457" s="8" t="s">
        <v>570</v>
      </c>
      <c r="L457" s="8" t="s">
        <v>600</v>
      </c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ht="14.25" customHeight="1">
      <c r="A458" s="2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4.25" customHeight="1">
      <c r="A459" s="2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4.25" customHeight="1">
      <c r="A460" s="2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4.25" customHeight="1">
      <c r="A461" s="36" t="s">
        <v>648</v>
      </c>
      <c r="B461" s="25">
        <v>44327.0</v>
      </c>
      <c r="C461" s="46" t="s">
        <v>649</v>
      </c>
      <c r="D461" s="8" t="s">
        <v>406</v>
      </c>
      <c r="E461" s="51" t="s">
        <v>650</v>
      </c>
      <c r="F461" s="8" t="s">
        <v>590</v>
      </c>
      <c r="G461" s="8" t="s">
        <v>242</v>
      </c>
      <c r="H461" s="8"/>
      <c r="I461" s="8" t="s">
        <v>225</v>
      </c>
      <c r="J461" s="8" t="s">
        <v>651</v>
      </c>
      <c r="K461" s="8" t="s">
        <v>570</v>
      </c>
      <c r="L461" s="8" t="s">
        <v>600</v>
      </c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ht="14.25" customHeight="1">
      <c r="A462" s="2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4.25" customHeight="1">
      <c r="A463" s="2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4.25" customHeight="1">
      <c r="A464" s="2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4.25" customHeight="1">
      <c r="A465" s="36" t="s">
        <v>652</v>
      </c>
      <c r="B465" s="25">
        <v>44334.0</v>
      </c>
      <c r="C465" s="3" t="s">
        <v>653</v>
      </c>
      <c r="D465" s="8" t="s">
        <v>654</v>
      </c>
      <c r="E465" s="1" t="s">
        <v>655</v>
      </c>
      <c r="F465" s="8" t="s">
        <v>590</v>
      </c>
      <c r="G465" s="8" t="s">
        <v>242</v>
      </c>
      <c r="H465" s="8"/>
      <c r="I465" s="8" t="s">
        <v>225</v>
      </c>
      <c r="J465" s="8"/>
      <c r="K465" s="8" t="s">
        <v>570</v>
      </c>
      <c r="L465" s="8" t="s">
        <v>656</v>
      </c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ht="14.25" customHeight="1">
      <c r="A466" s="26"/>
      <c r="B466" s="2"/>
      <c r="C466" s="2"/>
      <c r="D466" s="2"/>
      <c r="E466" s="2"/>
      <c r="F466" s="8"/>
      <c r="G466" s="2"/>
      <c r="H466" s="2"/>
      <c r="I466" s="2"/>
      <c r="J466" s="2"/>
      <c r="K466" s="2"/>
      <c r="L466" s="8" t="s">
        <v>657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4.25" customHeight="1">
      <c r="A467" s="26"/>
      <c r="B467" s="2"/>
      <c r="C467" s="2"/>
      <c r="D467" s="2"/>
      <c r="E467" s="2"/>
      <c r="F467" s="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4.25" customHeight="1">
      <c r="A468" s="22"/>
      <c r="B468" s="4"/>
      <c r="C468" s="4"/>
      <c r="D468" s="4"/>
      <c r="E468" s="4"/>
      <c r="F468" s="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4.25" customHeight="1">
      <c r="A469" s="36" t="s">
        <v>658</v>
      </c>
      <c r="B469" s="25">
        <v>44334.0</v>
      </c>
      <c r="C469" s="3" t="s">
        <v>659</v>
      </c>
      <c r="D469" s="8" t="s">
        <v>654</v>
      </c>
      <c r="E469" s="8" t="s">
        <v>660</v>
      </c>
      <c r="F469" s="8" t="s">
        <v>590</v>
      </c>
      <c r="G469" s="8" t="s">
        <v>242</v>
      </c>
      <c r="H469" s="8"/>
      <c r="I469" s="8" t="s">
        <v>225</v>
      </c>
      <c r="J469" s="8"/>
      <c r="K469" s="8" t="s">
        <v>570</v>
      </c>
      <c r="L469" s="8" t="s">
        <v>661</v>
      </c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ht="14.25" customHeight="1">
      <c r="A470" s="26"/>
      <c r="B470" s="2"/>
      <c r="C470" s="2"/>
      <c r="D470" s="2"/>
      <c r="E470" s="2"/>
      <c r="F470" s="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4.25" customHeight="1">
      <c r="A471" s="26"/>
      <c r="B471" s="2"/>
      <c r="C471" s="2"/>
      <c r="D471" s="2"/>
      <c r="E471" s="2"/>
      <c r="F471" s="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4.25" customHeight="1">
      <c r="A472" s="2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4.25" customHeight="1">
      <c r="A473" s="36" t="s">
        <v>662</v>
      </c>
      <c r="B473" s="25">
        <v>44337.0</v>
      </c>
      <c r="C473" s="3" t="s">
        <v>251</v>
      </c>
      <c r="D473" s="8" t="s">
        <v>654</v>
      </c>
      <c r="E473" s="8" t="s">
        <v>663</v>
      </c>
      <c r="F473" s="8" t="s">
        <v>590</v>
      </c>
      <c r="G473" s="8" t="s">
        <v>242</v>
      </c>
      <c r="H473" s="8"/>
      <c r="I473" s="8" t="s">
        <v>225</v>
      </c>
      <c r="J473" s="8"/>
      <c r="K473" s="8" t="s">
        <v>570</v>
      </c>
      <c r="L473" s="8" t="s">
        <v>656</v>
      </c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ht="14.25" customHeight="1">
      <c r="A474" s="2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8" t="s">
        <v>664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4.25" customHeight="1">
      <c r="A475" s="2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4.25" customHeight="1">
      <c r="A476" s="22"/>
      <c r="B476" s="4"/>
      <c r="C476" s="4"/>
      <c r="D476" s="4"/>
      <c r="E476" s="2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4.25" customHeight="1">
      <c r="A477" s="36" t="s">
        <v>665</v>
      </c>
      <c r="B477" s="25">
        <v>44344.0</v>
      </c>
      <c r="C477" s="3" t="s">
        <v>653</v>
      </c>
      <c r="D477" s="8" t="s">
        <v>654</v>
      </c>
      <c r="E477" s="8" t="s">
        <v>666</v>
      </c>
      <c r="F477" s="8" t="s">
        <v>667</v>
      </c>
      <c r="G477" s="8" t="s">
        <v>242</v>
      </c>
      <c r="H477" s="8"/>
      <c r="I477" s="8" t="s">
        <v>668</v>
      </c>
      <c r="J477" s="8"/>
      <c r="K477" s="8" t="s">
        <v>570</v>
      </c>
      <c r="L477" s="8" t="s">
        <v>669</v>
      </c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ht="14.25" customHeight="1">
      <c r="A478" s="26"/>
      <c r="B478" s="2"/>
      <c r="C478" s="2"/>
      <c r="D478" s="2"/>
      <c r="E478" s="2"/>
      <c r="F478" s="2"/>
      <c r="G478" s="2"/>
      <c r="H478" s="8"/>
      <c r="I478" s="8"/>
      <c r="J478" s="2"/>
      <c r="K478" s="2"/>
      <c r="L478" s="8" t="s">
        <v>657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4.25" customHeight="1">
      <c r="A479" s="26"/>
      <c r="B479" s="2"/>
      <c r="C479" s="2"/>
      <c r="D479" s="2"/>
      <c r="E479" s="2"/>
      <c r="F479" s="2"/>
      <c r="G479" s="2"/>
      <c r="H479" s="8"/>
      <c r="I479" s="8"/>
      <c r="J479" s="2"/>
      <c r="K479" s="2"/>
      <c r="L479" s="8" t="s">
        <v>670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4.25" customHeight="1">
      <c r="A480" s="22"/>
      <c r="B480" s="4"/>
      <c r="C480" s="4"/>
      <c r="D480" s="4"/>
      <c r="E480" s="4"/>
      <c r="F480" s="4"/>
      <c r="G480" s="4"/>
      <c r="H480" s="5"/>
      <c r="I480" s="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4.25" customHeight="1">
      <c r="A481" s="36" t="s">
        <v>671</v>
      </c>
      <c r="B481" s="25">
        <v>44355.0</v>
      </c>
      <c r="C481" s="46" t="s">
        <v>672</v>
      </c>
      <c r="D481" s="8" t="s">
        <v>406</v>
      </c>
      <c r="E481" s="51" t="s">
        <v>673</v>
      </c>
      <c r="F481" s="8"/>
      <c r="G481" s="8" t="s">
        <v>674</v>
      </c>
      <c r="H481" s="8"/>
      <c r="I481" s="8" t="s">
        <v>668</v>
      </c>
      <c r="J481" s="8"/>
      <c r="K481" s="8" t="s">
        <v>570</v>
      </c>
      <c r="L481" s="8" t="s">
        <v>600</v>
      </c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ht="14.25" customHeight="1">
      <c r="A482" s="26"/>
      <c r="B482" s="8"/>
      <c r="C482" s="2"/>
      <c r="D482" s="2"/>
      <c r="E482" s="2"/>
      <c r="F482" s="2"/>
      <c r="G482" s="2"/>
      <c r="H482" s="8"/>
      <c r="I482" s="8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4.25" customHeight="1">
      <c r="A483" s="26"/>
      <c r="B483" s="8"/>
      <c r="C483" s="2"/>
      <c r="D483" s="2"/>
      <c r="E483" s="2"/>
      <c r="F483" s="2"/>
      <c r="G483" s="2"/>
      <c r="H483" s="8"/>
      <c r="I483" s="8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4.25" customHeight="1">
      <c r="A484" s="22"/>
      <c r="B484" s="5"/>
      <c r="C484" s="4"/>
      <c r="D484" s="4"/>
      <c r="E484" s="4"/>
      <c r="F484" s="4"/>
      <c r="G484" s="4"/>
      <c r="H484" s="5"/>
      <c r="I484" s="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4.25" customHeight="1">
      <c r="A485" s="36" t="s">
        <v>675</v>
      </c>
      <c r="B485" s="25">
        <v>44355.0</v>
      </c>
      <c r="C485" s="46" t="s">
        <v>676</v>
      </c>
      <c r="D485" s="8" t="s">
        <v>406</v>
      </c>
      <c r="E485" s="51" t="s">
        <v>677</v>
      </c>
      <c r="F485" s="8" t="s">
        <v>386</v>
      </c>
      <c r="G485" s="8" t="s">
        <v>242</v>
      </c>
      <c r="H485" s="8"/>
      <c r="I485" s="8" t="s">
        <v>22</v>
      </c>
      <c r="J485" s="8" t="s">
        <v>678</v>
      </c>
      <c r="K485" s="8" t="s">
        <v>679</v>
      </c>
      <c r="L485" s="8" t="s">
        <v>657</v>
      </c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ht="14.25" customHeight="1">
      <c r="A486" s="26"/>
      <c r="B486" s="8"/>
      <c r="C486" s="2"/>
      <c r="D486" s="2"/>
      <c r="E486" s="2"/>
      <c r="F486" s="2"/>
      <c r="G486" s="8" t="s">
        <v>680</v>
      </c>
      <c r="H486" s="8"/>
      <c r="I486" s="8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4.25" customHeight="1">
      <c r="A487" s="26"/>
      <c r="B487" s="8"/>
      <c r="C487" s="2"/>
      <c r="D487" s="2"/>
      <c r="E487" s="2"/>
      <c r="F487" s="2"/>
      <c r="G487" s="2"/>
      <c r="H487" s="8"/>
      <c r="I487" s="8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4.25" customHeight="1">
      <c r="A488" s="22"/>
      <c r="B488" s="5"/>
      <c r="C488" s="4"/>
      <c r="D488" s="4"/>
      <c r="E488" s="4"/>
      <c r="F488" s="4"/>
      <c r="G488" s="4"/>
      <c r="H488" s="5"/>
      <c r="I488" s="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4.25" customHeight="1">
      <c r="A489" s="36" t="s">
        <v>681</v>
      </c>
      <c r="B489" s="25">
        <v>44355.0</v>
      </c>
      <c r="C489" s="46" t="s">
        <v>534</v>
      </c>
      <c r="D489" s="8" t="s">
        <v>406</v>
      </c>
      <c r="E489" s="51" t="s">
        <v>682</v>
      </c>
      <c r="F489" s="8"/>
      <c r="G489" s="8" t="s">
        <v>674</v>
      </c>
      <c r="H489" s="8"/>
      <c r="I489" s="8" t="s">
        <v>668</v>
      </c>
      <c r="J489" s="8"/>
      <c r="K489" s="8" t="s">
        <v>570</v>
      </c>
      <c r="L489" s="8" t="s">
        <v>600</v>
      </c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ht="14.25" customHeight="1">
      <c r="A490" s="26"/>
      <c r="B490" s="8"/>
      <c r="C490" s="2"/>
      <c r="D490" s="2"/>
      <c r="E490" s="2"/>
      <c r="F490" s="2"/>
      <c r="G490" s="2"/>
      <c r="H490" s="8"/>
      <c r="I490" s="8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4.25" customHeight="1">
      <c r="A491" s="26"/>
      <c r="B491" s="8"/>
      <c r="C491" s="2"/>
      <c r="D491" s="2"/>
      <c r="E491" s="2"/>
      <c r="F491" s="2"/>
      <c r="G491" s="2"/>
      <c r="H491" s="8"/>
      <c r="I491" s="8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4.25" customHeight="1">
      <c r="A492" s="22"/>
      <c r="B492" s="4"/>
      <c r="C492" s="4"/>
      <c r="D492" s="4"/>
      <c r="E492" s="4"/>
      <c r="F492" s="4"/>
      <c r="G492" s="4"/>
      <c r="H492" s="5"/>
      <c r="I492" s="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4.25" customHeight="1">
      <c r="A493" s="36" t="s">
        <v>683</v>
      </c>
      <c r="B493" s="25">
        <v>44355.0</v>
      </c>
      <c r="C493" s="46" t="s">
        <v>684</v>
      </c>
      <c r="D493" s="8" t="s">
        <v>406</v>
      </c>
      <c r="E493" s="51" t="s">
        <v>673</v>
      </c>
      <c r="F493" s="8"/>
      <c r="G493" s="8" t="s">
        <v>674</v>
      </c>
      <c r="H493" s="8"/>
      <c r="I493" s="8" t="s">
        <v>668</v>
      </c>
      <c r="J493" s="8"/>
      <c r="K493" s="8" t="s">
        <v>570</v>
      </c>
      <c r="L493" s="8" t="s">
        <v>600</v>
      </c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ht="14.25" customHeight="1">
      <c r="A494" s="26"/>
      <c r="B494" s="2"/>
      <c r="C494" s="2"/>
      <c r="D494" s="2"/>
      <c r="E494" s="8"/>
      <c r="F494" s="2"/>
      <c r="G494" s="2"/>
      <c r="H494" s="8"/>
      <c r="I494" s="8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4.25" customHeight="1">
      <c r="A495" s="26"/>
      <c r="B495" s="2"/>
      <c r="C495" s="2"/>
      <c r="D495" s="2"/>
      <c r="E495" s="8"/>
      <c r="F495" s="2"/>
      <c r="G495" s="2"/>
      <c r="H495" s="8"/>
      <c r="I495" s="8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4.25" customHeight="1">
      <c r="A496" s="22"/>
      <c r="B496" s="4"/>
      <c r="C496" s="4"/>
      <c r="D496" s="4"/>
      <c r="E496" s="5"/>
      <c r="F496" s="4"/>
      <c r="G496" s="4"/>
      <c r="H496" s="5"/>
      <c r="I496" s="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4.25" customHeight="1">
      <c r="A497" s="36" t="s">
        <v>685</v>
      </c>
      <c r="B497" s="25">
        <v>44355.0</v>
      </c>
      <c r="C497" s="46" t="s">
        <v>686</v>
      </c>
      <c r="D497" s="8" t="s">
        <v>406</v>
      </c>
      <c r="E497" s="51" t="s">
        <v>687</v>
      </c>
      <c r="F497" s="8"/>
      <c r="G497" s="8" t="s">
        <v>674</v>
      </c>
      <c r="H497" s="8"/>
      <c r="I497" s="8" t="s">
        <v>668</v>
      </c>
      <c r="J497" s="8"/>
      <c r="K497" s="8" t="s">
        <v>570</v>
      </c>
      <c r="L497" s="8" t="s">
        <v>688</v>
      </c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ht="14.25" customHeight="1">
      <c r="A498" s="2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4.25" customHeight="1">
      <c r="A499" s="2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4.25" customHeight="1">
      <c r="A500" s="7"/>
      <c r="B500" s="4"/>
      <c r="C500" s="4"/>
      <c r="D500" s="4"/>
      <c r="E500" s="4"/>
      <c r="F500" s="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4.25" customHeight="1">
      <c r="A501" s="19" t="s">
        <v>689</v>
      </c>
      <c r="B501" s="25">
        <v>44357.0</v>
      </c>
      <c r="C501" s="3" t="s">
        <v>690</v>
      </c>
      <c r="D501" s="8" t="s">
        <v>373</v>
      </c>
      <c r="E501" s="8"/>
      <c r="F501" s="8" t="s">
        <v>691</v>
      </c>
      <c r="G501" s="8" t="s">
        <v>692</v>
      </c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ht="14.25" customHeight="1">
      <c r="A502" s="1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4.25" customHeight="1">
      <c r="A503" s="1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4.25" customHeight="1">
      <c r="A504" s="7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4.25" customHeight="1">
      <c r="A505" s="19" t="s">
        <v>693</v>
      </c>
      <c r="B505" s="25">
        <v>44357.0</v>
      </c>
      <c r="C505" s="3" t="s">
        <v>694</v>
      </c>
      <c r="D505" s="8" t="s">
        <v>373</v>
      </c>
      <c r="E505" s="8" t="s">
        <v>695</v>
      </c>
      <c r="F505" s="8" t="s">
        <v>696</v>
      </c>
      <c r="G505" s="8" t="s">
        <v>692</v>
      </c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ht="14.25" customHeight="1">
      <c r="A506" s="1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4.25" customHeight="1">
      <c r="A507" s="2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4.25" customHeight="1">
      <c r="A508" s="2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4.25" customHeight="1">
      <c r="A509" s="36" t="s">
        <v>697</v>
      </c>
      <c r="B509" s="25">
        <v>44358.0</v>
      </c>
      <c r="C509" s="53" t="s">
        <v>698</v>
      </c>
      <c r="D509" s="1" t="s">
        <v>699</v>
      </c>
      <c r="E509" s="8"/>
      <c r="F509" s="8" t="s">
        <v>700</v>
      </c>
      <c r="G509" s="8" t="s">
        <v>242</v>
      </c>
      <c r="H509" s="8"/>
      <c r="I509" s="8" t="s">
        <v>22</v>
      </c>
      <c r="J509" s="8" t="s">
        <v>701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ht="14.25" customHeight="1">
      <c r="A510" s="26"/>
      <c r="B510" s="2"/>
      <c r="C510" s="2"/>
      <c r="D510" s="2"/>
      <c r="E510" s="2"/>
      <c r="F510" s="8" t="s">
        <v>702</v>
      </c>
      <c r="G510" s="8" t="s">
        <v>703</v>
      </c>
      <c r="H510" s="8"/>
      <c r="I510" s="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4.25" customHeight="1">
      <c r="A511" s="26"/>
      <c r="B511" s="2"/>
      <c r="C511" s="2"/>
      <c r="D511" s="2"/>
      <c r="E511" s="2"/>
      <c r="F511" s="2"/>
      <c r="G511" s="8" t="s">
        <v>704</v>
      </c>
      <c r="H511" s="8"/>
      <c r="I511" s="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4.25" customHeight="1">
      <c r="A512" s="22"/>
      <c r="B512" s="4"/>
      <c r="C512" s="4"/>
      <c r="D512" s="4"/>
      <c r="E512" s="4"/>
      <c r="F512" s="4"/>
      <c r="G512" s="4"/>
      <c r="H512" s="5"/>
      <c r="I512" s="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4.25" customHeight="1">
      <c r="A513" s="44" t="s">
        <v>705</v>
      </c>
      <c r="B513" s="45">
        <v>44358.0</v>
      </c>
      <c r="C513" s="44" t="s">
        <v>187</v>
      </c>
      <c r="D513" s="16" t="s">
        <v>706</v>
      </c>
      <c r="E513" s="16"/>
      <c r="F513" s="16" t="s">
        <v>707</v>
      </c>
      <c r="G513" s="16" t="s">
        <v>242</v>
      </c>
      <c r="H513" s="16"/>
      <c r="I513" s="16" t="s">
        <v>225</v>
      </c>
      <c r="J513" s="54" t="s">
        <v>708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ht="14.25" customHeight="1">
      <c r="A514" s="2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4.25" customHeight="1">
      <c r="A515" s="2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4.25" customHeight="1">
      <c r="A516" s="2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4.25" customHeight="1">
      <c r="A517" s="36" t="s">
        <v>709</v>
      </c>
      <c r="B517" s="25">
        <v>44362.0</v>
      </c>
      <c r="C517" s="3" t="s">
        <v>710</v>
      </c>
      <c r="D517" s="8" t="s">
        <v>40</v>
      </c>
      <c r="E517" s="8">
        <v>1.1435245E7</v>
      </c>
      <c r="F517" s="8" t="s">
        <v>696</v>
      </c>
      <c r="G517" s="8" t="s">
        <v>711</v>
      </c>
      <c r="H517" s="8"/>
      <c r="I517" s="8" t="s">
        <v>22</v>
      </c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ht="14.25" customHeight="1">
      <c r="A518" s="26"/>
      <c r="B518" s="2"/>
      <c r="C518" s="8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4.25" customHeight="1">
      <c r="A519" s="26"/>
      <c r="B519" s="2"/>
      <c r="C519" s="8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4.25" customHeight="1">
      <c r="A520" s="22"/>
      <c r="B520" s="4"/>
      <c r="C520" s="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4.25" customHeight="1">
      <c r="A521" s="36" t="s">
        <v>712</v>
      </c>
      <c r="B521" s="25">
        <v>44362.0</v>
      </c>
      <c r="C521" s="3" t="s">
        <v>710</v>
      </c>
      <c r="D521" s="8" t="s">
        <v>40</v>
      </c>
      <c r="E521" s="8" t="s">
        <v>713</v>
      </c>
      <c r="F521" s="8" t="s">
        <v>696</v>
      </c>
      <c r="G521" s="8" t="s">
        <v>711</v>
      </c>
      <c r="H521" s="8"/>
      <c r="I521" s="8" t="s">
        <v>22</v>
      </c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ht="14.25" customHeight="1">
      <c r="A522" s="26"/>
      <c r="B522" s="2"/>
      <c r="C522" s="8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4.25" customHeight="1">
      <c r="A523" s="26"/>
      <c r="B523" s="2"/>
      <c r="C523" s="8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4.25" customHeight="1">
      <c r="A524" s="22"/>
      <c r="B524" s="4"/>
      <c r="C524" s="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4.25" customHeight="1">
      <c r="A525" s="36" t="s">
        <v>714</v>
      </c>
      <c r="B525" s="25">
        <v>44362.0</v>
      </c>
      <c r="C525" s="3" t="s">
        <v>710</v>
      </c>
      <c r="D525" s="8" t="s">
        <v>40</v>
      </c>
      <c r="E525" s="8">
        <v>1.5300552E7</v>
      </c>
      <c r="F525" s="8" t="s">
        <v>696</v>
      </c>
      <c r="G525" s="8" t="s">
        <v>715</v>
      </c>
      <c r="H525" s="8"/>
      <c r="I525" s="8" t="s">
        <v>22</v>
      </c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ht="14.25" customHeight="1">
      <c r="A526" s="2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4.25" customHeight="1">
      <c r="A527" s="2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4.25" customHeight="1">
      <c r="A528" s="2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4.25" customHeight="1">
      <c r="A529" s="36" t="s">
        <v>716</v>
      </c>
      <c r="B529" s="25">
        <v>44370.0</v>
      </c>
      <c r="C529" s="3" t="s">
        <v>717</v>
      </c>
      <c r="D529" s="8" t="s">
        <v>40</v>
      </c>
      <c r="E529" s="8" t="s">
        <v>718</v>
      </c>
      <c r="F529" s="8" t="s">
        <v>719</v>
      </c>
      <c r="G529" s="1" t="s">
        <v>720</v>
      </c>
      <c r="H529" s="8"/>
      <c r="I529" s="8" t="s">
        <v>225</v>
      </c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ht="14.25" customHeight="1">
      <c r="A530" s="2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4.25" customHeight="1">
      <c r="A531" s="2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4.25" customHeight="1">
      <c r="A532" s="2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4.25" customHeight="1">
      <c r="A533" s="36" t="s">
        <v>721</v>
      </c>
      <c r="B533" s="25">
        <v>44376.0</v>
      </c>
      <c r="C533" s="53" t="s">
        <v>722</v>
      </c>
      <c r="D533" s="8" t="s">
        <v>706</v>
      </c>
      <c r="E533" s="8"/>
      <c r="F533" s="8" t="s">
        <v>386</v>
      </c>
      <c r="G533" s="8" t="s">
        <v>723</v>
      </c>
      <c r="H533" s="8"/>
      <c r="I533" s="8" t="s">
        <v>225</v>
      </c>
      <c r="J533" s="8"/>
      <c r="K533" s="8" t="s">
        <v>724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ht="14.25" customHeight="1">
      <c r="A534" s="26"/>
      <c r="B534" s="2"/>
      <c r="C534" s="55" t="s">
        <v>725</v>
      </c>
      <c r="D534" s="2"/>
      <c r="E534" s="2"/>
      <c r="F534" s="2"/>
      <c r="G534" s="2"/>
      <c r="H534" s="8"/>
      <c r="I534" s="8"/>
      <c r="J534" s="2"/>
      <c r="K534" s="8" t="s">
        <v>726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4.25" customHeight="1">
      <c r="A535" s="26"/>
      <c r="B535" s="2"/>
      <c r="C535" s="2"/>
      <c r="D535" s="2"/>
      <c r="E535" s="2"/>
      <c r="F535" s="2"/>
      <c r="G535" s="2"/>
      <c r="H535" s="8"/>
      <c r="I535" s="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4.25" customHeight="1">
      <c r="A536" s="22"/>
      <c r="B536" s="4"/>
      <c r="C536" s="4"/>
      <c r="D536" s="4"/>
      <c r="E536" s="4"/>
      <c r="F536" s="4"/>
      <c r="G536" s="4"/>
      <c r="H536" s="5"/>
      <c r="I536" s="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4.25" customHeight="1">
      <c r="A537" s="36" t="s">
        <v>727</v>
      </c>
      <c r="B537" s="25">
        <v>44376.0</v>
      </c>
      <c r="C537" s="53" t="s">
        <v>728</v>
      </c>
      <c r="D537" s="8" t="s">
        <v>706</v>
      </c>
      <c r="E537" s="8" t="s">
        <v>729</v>
      </c>
      <c r="F537" s="8" t="s">
        <v>386</v>
      </c>
      <c r="G537" s="8" t="s">
        <v>723</v>
      </c>
      <c r="H537" s="8"/>
      <c r="I537" s="8" t="s">
        <v>225</v>
      </c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ht="14.25" customHeight="1">
      <c r="A538" s="26"/>
      <c r="B538" s="2"/>
      <c r="C538" s="8" t="s">
        <v>730</v>
      </c>
      <c r="D538" s="2"/>
      <c r="E538" s="2"/>
      <c r="F538" s="8" t="s">
        <v>731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4.25" customHeight="1">
      <c r="A539" s="2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4.25" customHeight="1">
      <c r="A540" s="22"/>
      <c r="B540" s="4"/>
      <c r="C540" s="4"/>
      <c r="D540" s="4"/>
      <c r="E540" s="2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4.25" customHeight="1">
      <c r="A541" s="36" t="s">
        <v>732</v>
      </c>
      <c r="B541" s="25">
        <v>44377.0</v>
      </c>
      <c r="C541" s="56" t="s">
        <v>733</v>
      </c>
      <c r="D541" s="8" t="s">
        <v>40</v>
      </c>
      <c r="E541" s="8" t="s">
        <v>734</v>
      </c>
      <c r="F541" s="8" t="s">
        <v>735</v>
      </c>
      <c r="G541" s="8" t="s">
        <v>736</v>
      </c>
      <c r="H541" s="8"/>
      <c r="I541" s="8" t="s">
        <v>22</v>
      </c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ht="14.25" customHeight="1">
      <c r="A542" s="26"/>
      <c r="B542" s="2"/>
      <c r="C542" s="8" t="s">
        <v>737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4.25" customHeight="1">
      <c r="A543" s="2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4.25" customHeight="1">
      <c r="A544" s="22"/>
      <c r="B544" s="4"/>
      <c r="C544" s="4"/>
      <c r="D544" s="4"/>
      <c r="E544" s="2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4.25" customHeight="1">
      <c r="A545" s="36" t="s">
        <v>738</v>
      </c>
      <c r="B545" s="25">
        <v>44378.0</v>
      </c>
      <c r="C545" s="3" t="s">
        <v>739</v>
      </c>
      <c r="D545" s="8" t="s">
        <v>40</v>
      </c>
      <c r="E545" s="8" t="s">
        <v>740</v>
      </c>
      <c r="F545" s="8" t="s">
        <v>741</v>
      </c>
      <c r="G545" s="8" t="s">
        <v>736</v>
      </c>
      <c r="H545" s="8"/>
      <c r="I545" s="8" t="s">
        <v>22</v>
      </c>
      <c r="J545" s="8"/>
      <c r="K545" s="8" t="s">
        <v>742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ht="14.25" customHeight="1">
      <c r="A546" s="26"/>
      <c r="B546" s="2"/>
      <c r="C546" s="8" t="s">
        <v>400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4.25" customHeight="1">
      <c r="A547" s="2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4.25" customHeight="1">
      <c r="A548" s="22"/>
      <c r="B548" s="4"/>
      <c r="C548" s="4"/>
      <c r="D548" s="4"/>
      <c r="E548" s="2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4.25" customHeight="1">
      <c r="A549" s="36" t="s">
        <v>743</v>
      </c>
      <c r="B549" s="25">
        <v>44379.0</v>
      </c>
      <c r="C549" s="3" t="s">
        <v>744</v>
      </c>
      <c r="D549" s="8" t="s">
        <v>40</v>
      </c>
      <c r="E549" s="8" t="s">
        <v>745</v>
      </c>
      <c r="F549" s="8" t="s">
        <v>58</v>
      </c>
      <c r="G549" s="8"/>
      <c r="H549" s="8"/>
      <c r="I549" s="8" t="s">
        <v>22</v>
      </c>
      <c r="J549" s="8"/>
      <c r="K549" s="8" t="s">
        <v>746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ht="14.25" customHeight="1">
      <c r="A550" s="26"/>
      <c r="B550" s="2"/>
      <c r="C550" s="2"/>
      <c r="D550" s="2"/>
      <c r="E550" s="2"/>
      <c r="F550" s="8" t="s">
        <v>20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4.25" customHeight="1">
      <c r="A551" s="2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4.25" customHeight="1">
      <c r="A552" s="22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4.25" customHeight="1">
      <c r="A553" s="36" t="s">
        <v>747</v>
      </c>
      <c r="B553" s="25">
        <v>44384.0</v>
      </c>
      <c r="C553" s="53" t="s">
        <v>748</v>
      </c>
      <c r="D553" s="5" t="s">
        <v>706</v>
      </c>
      <c r="E553" s="5">
        <v>2.0113997E7</v>
      </c>
      <c r="F553" s="8" t="s">
        <v>386</v>
      </c>
      <c r="G553" s="8"/>
      <c r="H553" s="8"/>
      <c r="I553" s="8" t="s">
        <v>22</v>
      </c>
      <c r="J553" s="8" t="s">
        <v>468</v>
      </c>
      <c r="K553" s="8" t="s">
        <v>724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ht="14.25" customHeight="1">
      <c r="A554" s="26"/>
      <c r="B554" s="8"/>
      <c r="C554" s="8" t="s">
        <v>749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4.25" customHeight="1">
      <c r="A555" s="26"/>
      <c r="B555" s="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4.25" customHeight="1">
      <c r="A556" s="22"/>
      <c r="B556" s="5"/>
      <c r="C556" s="4"/>
      <c r="D556" s="4"/>
      <c r="E556" s="4"/>
      <c r="F556" s="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4.25" customHeight="1">
      <c r="A557" s="36" t="s">
        <v>750</v>
      </c>
      <c r="B557" s="25">
        <v>44385.0</v>
      </c>
      <c r="C557" s="3" t="s">
        <v>710</v>
      </c>
      <c r="D557" s="8" t="s">
        <v>373</v>
      </c>
      <c r="E557" s="8"/>
      <c r="F557" s="8" t="s">
        <v>696</v>
      </c>
      <c r="G557" s="8"/>
      <c r="H557" s="8"/>
      <c r="I557" s="8" t="s">
        <v>22</v>
      </c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ht="14.25" customHeight="1">
      <c r="A558" s="2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4.25" customHeight="1">
      <c r="A559" s="2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4.25" customHeight="1">
      <c r="A560" s="2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4.25" customHeight="1">
      <c r="A561" s="36" t="s">
        <v>751</v>
      </c>
      <c r="B561" s="25">
        <v>44385.0</v>
      </c>
      <c r="C561" s="3" t="s">
        <v>752</v>
      </c>
      <c r="D561" s="8" t="s">
        <v>753</v>
      </c>
      <c r="E561" s="8"/>
      <c r="F561" s="8" t="s">
        <v>696</v>
      </c>
      <c r="G561" s="8"/>
      <c r="H561" s="8"/>
      <c r="I561" s="8" t="s">
        <v>22</v>
      </c>
      <c r="J561" s="8"/>
      <c r="K561" s="8" t="s">
        <v>754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ht="14.25" customHeight="1">
      <c r="A562" s="2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4.25" customHeight="1">
      <c r="A563" s="2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4.25" customHeight="1">
      <c r="A564" s="2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4.25" customHeight="1">
      <c r="A565" s="36" t="s">
        <v>755</v>
      </c>
      <c r="B565" s="25">
        <v>44385.0</v>
      </c>
      <c r="C565" s="3" t="s">
        <v>756</v>
      </c>
      <c r="D565" s="8" t="s">
        <v>753</v>
      </c>
      <c r="E565" s="8"/>
      <c r="F565" s="8" t="s">
        <v>696</v>
      </c>
      <c r="G565" s="8"/>
      <c r="H565" s="8"/>
      <c r="I565" s="8" t="s">
        <v>22</v>
      </c>
      <c r="J565" s="8"/>
      <c r="K565" s="8" t="s">
        <v>754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ht="14.25" customHeight="1">
      <c r="A566" s="2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4.25" customHeight="1">
      <c r="A567" s="2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4.25" customHeight="1">
      <c r="A568" s="2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4.25" customHeight="1">
      <c r="A569" s="36" t="s">
        <v>757</v>
      </c>
      <c r="B569" s="25">
        <v>44390.0</v>
      </c>
      <c r="C569" s="57" t="s">
        <v>758</v>
      </c>
      <c r="D569" s="8" t="s">
        <v>706</v>
      </c>
      <c r="E569" s="8" t="s">
        <v>759</v>
      </c>
      <c r="F569" s="8" t="s">
        <v>386</v>
      </c>
      <c r="G569" s="8" t="s">
        <v>242</v>
      </c>
      <c r="H569" s="58" t="s">
        <v>760</v>
      </c>
      <c r="I569" s="1" t="s">
        <v>761</v>
      </c>
      <c r="J569" s="1" t="s">
        <v>762</v>
      </c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ht="14.25" customHeight="1">
      <c r="A570" s="26"/>
      <c r="B570" s="8"/>
      <c r="C570" s="2"/>
      <c r="D570" s="2"/>
      <c r="E570" s="2"/>
      <c r="F570" s="2"/>
      <c r="G570" s="8" t="s">
        <v>723</v>
      </c>
      <c r="H570" s="2"/>
      <c r="I570" s="2"/>
      <c r="J570" s="59" t="s">
        <v>763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4.25" customHeight="1">
      <c r="A571" s="26"/>
      <c r="B571" s="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4.25" customHeight="1">
      <c r="A572" s="22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4.25" customHeight="1">
      <c r="A573" s="36" t="s">
        <v>764</v>
      </c>
      <c r="B573" s="25">
        <v>44390.0</v>
      </c>
      <c r="C573" s="53" t="s">
        <v>765</v>
      </c>
      <c r="D573" s="8" t="s">
        <v>766</v>
      </c>
      <c r="E573" s="60" t="s">
        <v>767</v>
      </c>
      <c r="F573" s="8" t="s">
        <v>430</v>
      </c>
      <c r="G573" s="8" t="s">
        <v>242</v>
      </c>
      <c r="H573" s="8"/>
      <c r="I573" s="8" t="s">
        <v>225</v>
      </c>
      <c r="J573" s="8" t="s">
        <v>768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ht="14.25" customHeight="1">
      <c r="A574" s="26"/>
      <c r="B574" s="2"/>
      <c r="C574" s="8" t="s">
        <v>769</v>
      </c>
      <c r="D574" s="2"/>
      <c r="E574" s="2"/>
      <c r="F574" s="2"/>
      <c r="G574" s="8" t="s">
        <v>723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4.25" customHeight="1">
      <c r="A575" s="2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4.25" customHeight="1">
      <c r="A576" s="22"/>
      <c r="B576" s="4"/>
      <c r="C576" s="4"/>
      <c r="D576" s="4"/>
      <c r="E576" s="2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4.25" customHeight="1">
      <c r="A577" s="36" t="s">
        <v>770</v>
      </c>
      <c r="B577" s="25">
        <v>44393.0</v>
      </c>
      <c r="C577" s="61" t="s">
        <v>771</v>
      </c>
      <c r="D577" s="8" t="s">
        <v>772</v>
      </c>
      <c r="E577" s="8" t="s">
        <v>773</v>
      </c>
      <c r="F577" s="8" t="s">
        <v>774</v>
      </c>
      <c r="G577" s="8" t="s">
        <v>242</v>
      </c>
      <c r="H577" s="8"/>
      <c r="I577" s="8"/>
      <c r="J577" s="8" t="s">
        <v>775</v>
      </c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ht="14.25" customHeight="1">
      <c r="A578" s="26"/>
      <c r="B578" s="8"/>
      <c r="C578" s="2"/>
      <c r="D578" s="2"/>
      <c r="E578" s="2"/>
      <c r="F578" s="2"/>
      <c r="G578" s="8" t="s">
        <v>723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4.25" customHeight="1">
      <c r="A579" s="26"/>
      <c r="B579" s="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4.25" customHeight="1">
      <c r="A580" s="22"/>
      <c r="B580" s="5"/>
      <c r="C580" s="4"/>
      <c r="D580" s="4"/>
      <c r="E580" s="2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4.25" customHeight="1">
      <c r="A581" s="36" t="s">
        <v>776</v>
      </c>
      <c r="B581" s="25">
        <v>44393.0</v>
      </c>
      <c r="C581" s="3" t="s">
        <v>96</v>
      </c>
      <c r="D581" s="8" t="s">
        <v>772</v>
      </c>
      <c r="E581" s="8" t="s">
        <v>777</v>
      </c>
      <c r="F581" s="8" t="s">
        <v>386</v>
      </c>
      <c r="G581" s="8" t="s">
        <v>242</v>
      </c>
      <c r="H581" s="8"/>
      <c r="I581" s="8"/>
      <c r="J581" s="8" t="s">
        <v>778</v>
      </c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ht="14.25" customHeight="1">
      <c r="A582" s="26"/>
      <c r="B582" s="2"/>
      <c r="C582" s="2"/>
      <c r="D582" s="2"/>
      <c r="E582" s="2"/>
      <c r="F582" s="2"/>
      <c r="G582" s="8" t="s">
        <v>779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4.25" customHeight="1">
      <c r="A583" s="2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4.25" customHeight="1">
      <c r="A584" s="2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4.25" customHeight="1">
      <c r="A585" s="36" t="s">
        <v>780</v>
      </c>
      <c r="B585" s="25">
        <v>44278.0</v>
      </c>
      <c r="C585" s="3" t="s">
        <v>613</v>
      </c>
      <c r="D585" s="8" t="s">
        <v>614</v>
      </c>
      <c r="E585" s="8"/>
      <c r="F585" s="8" t="s">
        <v>516</v>
      </c>
      <c r="G585" s="8"/>
      <c r="H585" s="8"/>
      <c r="I585" s="8" t="s">
        <v>22</v>
      </c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ht="14.25" customHeight="1">
      <c r="A586" s="2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4.25" customHeight="1">
      <c r="A587" s="2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4.25" customHeight="1">
      <c r="A588" s="2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4.25" customHeight="1">
      <c r="A589" s="36" t="s">
        <v>781</v>
      </c>
      <c r="B589" s="25">
        <v>44397.0</v>
      </c>
      <c r="C589" s="3" t="s">
        <v>782</v>
      </c>
      <c r="D589" s="8" t="s">
        <v>706</v>
      </c>
      <c r="E589" s="8">
        <v>2.7919533E7</v>
      </c>
      <c r="F589" s="8" t="s">
        <v>386</v>
      </c>
      <c r="G589" s="8" t="s">
        <v>242</v>
      </c>
      <c r="H589" s="8"/>
      <c r="I589" s="8"/>
      <c r="J589" s="8" t="s">
        <v>768</v>
      </c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ht="14.25" customHeight="1">
      <c r="A590" s="26"/>
      <c r="B590" s="2"/>
      <c r="C590" s="2"/>
      <c r="D590" s="2"/>
      <c r="E590" s="2"/>
      <c r="F590" s="2"/>
      <c r="G590" s="8" t="s">
        <v>783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4.25" customHeight="1">
      <c r="A591" s="2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4.25" customHeight="1">
      <c r="A592" s="2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4.25" customHeight="1">
      <c r="A593" s="36" t="s">
        <v>784</v>
      </c>
      <c r="B593" s="25">
        <v>44399.0</v>
      </c>
      <c r="C593" s="3" t="s">
        <v>785</v>
      </c>
      <c r="D593" s="8" t="s">
        <v>706</v>
      </c>
      <c r="E593" s="8">
        <v>2.7918154E7</v>
      </c>
      <c r="F593" s="8" t="s">
        <v>386</v>
      </c>
      <c r="G593" s="8" t="s">
        <v>242</v>
      </c>
      <c r="H593" s="8"/>
      <c r="I593" s="8"/>
      <c r="J593" s="8" t="s">
        <v>768</v>
      </c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ht="14.25" customHeight="1">
      <c r="A594" s="26"/>
      <c r="B594" s="2"/>
      <c r="C594" s="2"/>
      <c r="D594" s="2"/>
      <c r="E594" s="2"/>
      <c r="F594" s="2"/>
      <c r="G594" s="8" t="s">
        <v>783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4.25" customHeight="1">
      <c r="A595" s="2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4.25" customHeight="1">
      <c r="A596" s="22"/>
      <c r="B596" s="4"/>
      <c r="C596" s="4"/>
      <c r="D596" s="4"/>
      <c r="E596" s="5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4.25" customHeight="1">
      <c r="A597" s="36" t="s">
        <v>786</v>
      </c>
      <c r="B597" s="25">
        <v>44404.0</v>
      </c>
      <c r="C597" s="62" t="s">
        <v>787</v>
      </c>
      <c r="D597" s="8" t="s">
        <v>706</v>
      </c>
      <c r="E597" s="8" t="s">
        <v>788</v>
      </c>
      <c r="F597" s="8" t="s">
        <v>386</v>
      </c>
      <c r="G597" s="8" t="s">
        <v>242</v>
      </c>
      <c r="H597" s="8"/>
      <c r="I597" s="8"/>
      <c r="J597" s="8" t="s">
        <v>789</v>
      </c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ht="14.25" customHeight="1">
      <c r="A598" s="26"/>
      <c r="B598" s="2"/>
      <c r="C598" s="8" t="s">
        <v>790</v>
      </c>
      <c r="D598" s="2"/>
      <c r="E598" s="2"/>
      <c r="F598" s="2"/>
      <c r="G598" s="8" t="s">
        <v>783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4.25" customHeight="1">
      <c r="A599" s="2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4.25" customHeight="1">
      <c r="A600" s="2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4.25" customHeight="1">
      <c r="A601" s="36" t="s">
        <v>791</v>
      </c>
      <c r="B601" s="25">
        <v>44406.0</v>
      </c>
      <c r="C601" s="3" t="s">
        <v>792</v>
      </c>
      <c r="D601" s="8" t="s">
        <v>406</v>
      </c>
      <c r="E601" s="8"/>
      <c r="F601" s="8" t="s">
        <v>386</v>
      </c>
      <c r="G601" s="8" t="s">
        <v>242</v>
      </c>
      <c r="H601" s="8"/>
      <c r="I601" s="8"/>
      <c r="J601" s="8" t="s">
        <v>775</v>
      </c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ht="14.25" customHeight="1">
      <c r="A602" s="26"/>
      <c r="B602" s="2"/>
      <c r="C602" s="2"/>
      <c r="D602" s="2"/>
      <c r="E602" s="2"/>
      <c r="F602" s="2"/>
      <c r="G602" s="8" t="s">
        <v>783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4.25" customHeight="1">
      <c r="A603" s="2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4.25" customHeight="1">
      <c r="A604" s="22"/>
      <c r="B604" s="4"/>
      <c r="C604" s="4"/>
      <c r="D604" s="4"/>
      <c r="E604" s="4"/>
      <c r="F604" s="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4.25" customHeight="1">
      <c r="A605" s="36" t="s">
        <v>793</v>
      </c>
      <c r="B605" s="25">
        <v>44406.0</v>
      </c>
      <c r="C605" s="3" t="s">
        <v>514</v>
      </c>
      <c r="D605" s="8" t="s">
        <v>406</v>
      </c>
      <c r="E605" s="8" t="s">
        <v>794</v>
      </c>
      <c r="F605" s="8" t="s">
        <v>386</v>
      </c>
      <c r="G605" s="8" t="s">
        <v>242</v>
      </c>
      <c r="H605" s="8"/>
      <c r="I605" s="8"/>
      <c r="J605" s="8" t="s">
        <v>775</v>
      </c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ht="14.25" customHeight="1">
      <c r="A606" s="26"/>
      <c r="B606" s="2"/>
      <c r="C606" s="2"/>
      <c r="D606" s="2"/>
      <c r="E606" s="2"/>
      <c r="F606" s="2"/>
      <c r="G606" s="8" t="s">
        <v>783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4.25" customHeight="1">
      <c r="A607" s="2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4.25" customHeight="1">
      <c r="A608" s="2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4.25" customHeight="1">
      <c r="A609" s="36" t="s">
        <v>795</v>
      </c>
      <c r="B609" s="25">
        <v>44406.0</v>
      </c>
      <c r="C609" s="53" t="s">
        <v>796</v>
      </c>
      <c r="D609" s="8" t="s">
        <v>706</v>
      </c>
      <c r="E609" s="8" t="s">
        <v>797</v>
      </c>
      <c r="F609" s="8" t="s">
        <v>798</v>
      </c>
      <c r="G609" s="8" t="s">
        <v>242</v>
      </c>
      <c r="H609" s="8"/>
      <c r="I609" s="8"/>
      <c r="J609" s="8" t="s">
        <v>799</v>
      </c>
      <c r="K609" s="8" t="s">
        <v>800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ht="14.25" customHeight="1">
      <c r="A610" s="26"/>
      <c r="B610" s="2"/>
      <c r="C610" s="2"/>
      <c r="D610" s="2"/>
      <c r="E610" s="2"/>
      <c r="F610" s="2"/>
      <c r="G610" s="8" t="s">
        <v>801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4.25" customHeight="1">
      <c r="A611" s="2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4.25" customHeight="1">
      <c r="A612" s="22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4.25" customHeight="1">
      <c r="A613" s="36" t="s">
        <v>802</v>
      </c>
      <c r="B613" s="25">
        <v>44411.0</v>
      </c>
      <c r="C613" s="3" t="s">
        <v>803</v>
      </c>
      <c r="D613" s="8" t="s">
        <v>804</v>
      </c>
      <c r="E613" s="8" t="s">
        <v>805</v>
      </c>
      <c r="F613" s="8" t="s">
        <v>806</v>
      </c>
      <c r="G613" s="8" t="s">
        <v>242</v>
      </c>
      <c r="H613" s="8"/>
      <c r="I613" s="8" t="s">
        <v>668</v>
      </c>
      <c r="J613" s="8" t="s">
        <v>807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4.25" customHeight="1">
      <c r="A614" s="26"/>
      <c r="B614" s="2"/>
      <c r="C614" s="2"/>
      <c r="D614" s="2"/>
      <c r="E614" s="2"/>
      <c r="F614" s="2"/>
      <c r="G614" s="8" t="s">
        <v>808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4.25" customHeight="1">
      <c r="A615" s="2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4.25" customHeight="1">
      <c r="A616" s="2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4.25" customHeight="1">
      <c r="A617" s="36" t="s">
        <v>809</v>
      </c>
      <c r="B617" s="25">
        <v>40400.0</v>
      </c>
      <c r="C617" s="3" t="s">
        <v>810</v>
      </c>
      <c r="D617" s="8" t="s">
        <v>40</v>
      </c>
      <c r="E617" s="8" t="s">
        <v>811</v>
      </c>
      <c r="F617" s="8" t="s">
        <v>99</v>
      </c>
      <c r="G617" s="8" t="s">
        <v>242</v>
      </c>
      <c r="H617" s="8"/>
      <c r="I617" s="8" t="s">
        <v>668</v>
      </c>
      <c r="J617" s="15" t="s">
        <v>812</v>
      </c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ht="14.25" customHeight="1">
      <c r="A618" s="26"/>
      <c r="B618" s="2"/>
      <c r="C618" s="2"/>
      <c r="D618" s="2"/>
      <c r="E618" s="2"/>
      <c r="F618" s="8"/>
      <c r="G618" s="8" t="s">
        <v>813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4.25" customHeight="1">
      <c r="A619" s="26"/>
      <c r="B619" s="2"/>
      <c r="C619" s="2"/>
      <c r="D619" s="2"/>
      <c r="E619" s="2"/>
      <c r="F619" s="8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4.25" customHeight="1">
      <c r="A620" s="22"/>
      <c r="B620" s="4"/>
      <c r="C620" s="4"/>
      <c r="D620" s="4"/>
      <c r="E620" s="4"/>
      <c r="F620" s="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4.25" customHeight="1">
      <c r="A621" s="36" t="s">
        <v>814</v>
      </c>
      <c r="B621" s="25">
        <v>40400.0</v>
      </c>
      <c r="C621" s="3" t="s">
        <v>815</v>
      </c>
      <c r="D621" s="8" t="s">
        <v>40</v>
      </c>
      <c r="E621" s="8" t="s">
        <v>816</v>
      </c>
      <c r="F621" s="8" t="s">
        <v>99</v>
      </c>
      <c r="G621" s="8" t="s">
        <v>242</v>
      </c>
      <c r="H621" s="8"/>
      <c r="I621" s="8" t="s">
        <v>668</v>
      </c>
      <c r="J621" s="8" t="s">
        <v>817</v>
      </c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ht="14.25" customHeight="1">
      <c r="A622" s="26"/>
      <c r="B622" s="2"/>
      <c r="C622" s="2"/>
      <c r="D622" s="2"/>
      <c r="E622" s="2"/>
      <c r="F622" s="2"/>
      <c r="G622" s="8" t="s">
        <v>818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4.25" customHeight="1">
      <c r="A623" s="2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4.25" customHeight="1">
      <c r="A624" s="2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4.25" customHeight="1">
      <c r="A625" s="36" t="s">
        <v>819</v>
      </c>
      <c r="B625" s="25">
        <v>40409.0</v>
      </c>
      <c r="C625" s="3" t="s">
        <v>820</v>
      </c>
      <c r="D625" s="8" t="s">
        <v>40</v>
      </c>
      <c r="E625" s="8" t="s">
        <v>821</v>
      </c>
      <c r="F625" s="8" t="s">
        <v>822</v>
      </c>
      <c r="G625" s="8" t="s">
        <v>242</v>
      </c>
      <c r="H625" s="8"/>
      <c r="I625" s="8" t="s">
        <v>668</v>
      </c>
      <c r="J625" s="8" t="s">
        <v>823</v>
      </c>
      <c r="K625" s="8" t="s">
        <v>824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ht="14.25" customHeight="1">
      <c r="A626" s="26"/>
      <c r="B626" s="2"/>
      <c r="C626" s="2"/>
      <c r="D626" s="2"/>
      <c r="E626" s="2"/>
      <c r="F626" s="2"/>
      <c r="G626" s="8" t="s">
        <v>825</v>
      </c>
      <c r="H626" s="2"/>
      <c r="I626" s="2"/>
      <c r="J626" s="8" t="s">
        <v>826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4.25" customHeight="1">
      <c r="A627" s="2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4.25" customHeight="1">
      <c r="A628" s="2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4.25" customHeight="1">
      <c r="A629" s="36" t="s">
        <v>827</v>
      </c>
      <c r="B629" s="25">
        <v>44427.0</v>
      </c>
      <c r="C629" s="3" t="s">
        <v>828</v>
      </c>
      <c r="D629" s="8" t="s">
        <v>40</v>
      </c>
      <c r="E629" s="8">
        <v>20702.0</v>
      </c>
      <c r="F629" s="8" t="s">
        <v>822</v>
      </c>
      <c r="G629" s="8" t="s">
        <v>242</v>
      </c>
      <c r="H629" s="8"/>
      <c r="I629" s="8" t="s">
        <v>668</v>
      </c>
      <c r="J629" s="8" t="s">
        <v>829</v>
      </c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ht="14.25" customHeight="1">
      <c r="A630" s="26"/>
      <c r="B630" s="2"/>
      <c r="C630" s="2"/>
      <c r="D630" s="2"/>
      <c r="E630" s="2"/>
      <c r="F630" s="2"/>
      <c r="G630" s="8" t="s">
        <v>825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4.25" customHeight="1">
      <c r="A631" s="2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4.25" customHeight="1">
      <c r="A632" s="2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4.25" customHeight="1">
      <c r="A633" s="36" t="s">
        <v>830</v>
      </c>
      <c r="B633" s="25">
        <v>44439.0</v>
      </c>
      <c r="C633" s="3" t="s">
        <v>831</v>
      </c>
      <c r="D633" s="8" t="s">
        <v>40</v>
      </c>
      <c r="E633" s="63">
        <v>1.7968259E7</v>
      </c>
      <c r="F633" s="8" t="s">
        <v>822</v>
      </c>
      <c r="G633" s="8" t="s">
        <v>242</v>
      </c>
      <c r="H633" s="8"/>
      <c r="I633" s="8" t="s">
        <v>22</v>
      </c>
      <c r="J633" s="8" t="s">
        <v>832</v>
      </c>
      <c r="K633" s="8" t="s">
        <v>833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ht="14.25" customHeight="1">
      <c r="A634" s="26"/>
      <c r="B634" s="2"/>
      <c r="C634" s="2"/>
      <c r="D634" s="8"/>
      <c r="E634" s="2"/>
      <c r="F634" s="2"/>
      <c r="G634" s="8" t="s">
        <v>834</v>
      </c>
      <c r="H634" s="2"/>
      <c r="I634" s="2"/>
      <c r="J634" s="8" t="s">
        <v>835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4.25" customHeight="1">
      <c r="A635" s="26"/>
      <c r="B635" s="2"/>
      <c r="C635" s="2"/>
      <c r="D635" s="8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4.25" customHeight="1">
      <c r="A636" s="22"/>
      <c r="B636" s="4"/>
      <c r="C636" s="4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4.25" customHeight="1">
      <c r="A637" s="36" t="s">
        <v>836</v>
      </c>
      <c r="B637" s="25">
        <v>44439.0</v>
      </c>
      <c r="C637" s="3" t="s">
        <v>837</v>
      </c>
      <c r="D637" s="8" t="s">
        <v>838</v>
      </c>
      <c r="E637" s="8">
        <v>2.7917539E7</v>
      </c>
      <c r="F637" s="8" t="s">
        <v>58</v>
      </c>
      <c r="G637" s="8" t="s">
        <v>242</v>
      </c>
      <c r="H637" s="8"/>
      <c r="I637" s="8" t="s">
        <v>22</v>
      </c>
      <c r="J637" s="8" t="s">
        <v>839</v>
      </c>
      <c r="K637" s="8" t="s">
        <v>840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ht="14.25" customHeight="1">
      <c r="A638" s="26"/>
      <c r="B638" s="2"/>
      <c r="C638" s="2"/>
      <c r="D638" s="2"/>
      <c r="E638" s="2"/>
      <c r="F638" s="2"/>
      <c r="G638" s="8" t="s">
        <v>834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4.25" customHeight="1">
      <c r="A639" s="2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4.25" customHeight="1">
      <c r="A640" s="2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4.25" customHeight="1">
      <c r="A641" s="36" t="s">
        <v>841</v>
      </c>
      <c r="B641" s="25">
        <v>44441.0</v>
      </c>
      <c r="C641" s="3" t="s">
        <v>480</v>
      </c>
      <c r="D641" s="8" t="s">
        <v>842</v>
      </c>
      <c r="E641" s="8" t="s">
        <v>843</v>
      </c>
      <c r="F641" s="8" t="s">
        <v>58</v>
      </c>
      <c r="G641" s="8" t="s">
        <v>242</v>
      </c>
      <c r="H641" s="8"/>
      <c r="I641" s="8" t="s">
        <v>668</v>
      </c>
      <c r="J641" s="8" t="s">
        <v>844</v>
      </c>
      <c r="K641" s="8"/>
      <c r="L641" s="8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4.25" customHeight="1">
      <c r="A642" s="26"/>
      <c r="B642" s="2"/>
      <c r="C642" s="2"/>
      <c r="D642" s="2"/>
      <c r="E642" s="2"/>
      <c r="F642" s="2"/>
      <c r="G642" s="8" t="s">
        <v>818</v>
      </c>
      <c r="H642" s="2"/>
      <c r="I642" s="2"/>
      <c r="J642" s="8" t="s">
        <v>845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4.25" customHeight="1">
      <c r="A643" s="2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4.25" customHeight="1">
      <c r="A644" s="2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4.25" customHeight="1">
      <c r="A645" s="36" t="s">
        <v>846</v>
      </c>
      <c r="B645" s="25">
        <v>44446.0</v>
      </c>
      <c r="C645" s="3" t="s">
        <v>694</v>
      </c>
      <c r="D645" s="8" t="s">
        <v>706</v>
      </c>
      <c r="E645" s="8">
        <v>2.7918709E7</v>
      </c>
      <c r="F645" s="8" t="s">
        <v>58</v>
      </c>
      <c r="G645" s="8" t="s">
        <v>242</v>
      </c>
      <c r="H645" s="8"/>
      <c r="I645" s="8" t="s">
        <v>668</v>
      </c>
      <c r="J645" s="8" t="s">
        <v>847</v>
      </c>
      <c r="K645" s="8"/>
      <c r="L645" s="8"/>
      <c r="M645" s="8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4.25" customHeight="1">
      <c r="A646" s="26"/>
      <c r="B646" s="2"/>
      <c r="C646" s="2"/>
      <c r="D646" s="2"/>
      <c r="E646" s="2"/>
      <c r="F646" s="2"/>
      <c r="G646" s="8" t="s">
        <v>813</v>
      </c>
      <c r="H646" s="2"/>
      <c r="I646" s="2"/>
      <c r="J646" s="8" t="s">
        <v>848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4.25" customHeight="1">
      <c r="A647" s="2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4.25" customHeight="1">
      <c r="A648" s="2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4.25" customHeight="1">
      <c r="A649" s="36" t="s">
        <v>849</v>
      </c>
      <c r="B649" s="25">
        <v>44446.0</v>
      </c>
      <c r="C649" s="3" t="s">
        <v>850</v>
      </c>
      <c r="D649" s="8" t="s">
        <v>842</v>
      </c>
      <c r="E649" s="8" t="s">
        <v>851</v>
      </c>
      <c r="F649" s="8" t="s">
        <v>852</v>
      </c>
      <c r="G649" s="8" t="s">
        <v>242</v>
      </c>
      <c r="H649" s="8"/>
      <c r="I649" s="8" t="s">
        <v>668</v>
      </c>
      <c r="J649" s="8" t="s">
        <v>853</v>
      </c>
      <c r="K649" s="8"/>
      <c r="L649" s="8"/>
      <c r="M649" s="8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4.25" customHeight="1">
      <c r="A650" s="26"/>
      <c r="B650" s="2"/>
      <c r="C650" s="2"/>
      <c r="D650" s="2"/>
      <c r="E650" s="2"/>
      <c r="F650" s="8" t="s">
        <v>854</v>
      </c>
      <c r="G650" s="8" t="s">
        <v>855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4.25" customHeight="1">
      <c r="A651" s="2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4.25" customHeight="1">
      <c r="A652" s="2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4.25" customHeight="1">
      <c r="A653" s="36" t="s">
        <v>856</v>
      </c>
      <c r="B653" s="25">
        <v>44447.0</v>
      </c>
      <c r="C653" s="3" t="s">
        <v>857</v>
      </c>
      <c r="D653" s="8" t="s">
        <v>40</v>
      </c>
      <c r="E653" s="8" t="s">
        <v>858</v>
      </c>
      <c r="F653" s="8" t="s">
        <v>58</v>
      </c>
      <c r="G653" s="8" t="s">
        <v>397</v>
      </c>
      <c r="H653" s="8"/>
      <c r="I653" s="8" t="s">
        <v>225</v>
      </c>
      <c r="J653" s="8" t="s">
        <v>859</v>
      </c>
      <c r="K653" s="8" t="s">
        <v>860</v>
      </c>
      <c r="L653" s="8"/>
      <c r="M653" s="8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4.25" customHeight="1">
      <c r="A654" s="26"/>
      <c r="B654" s="2"/>
      <c r="C654" s="2"/>
      <c r="D654" s="2"/>
      <c r="E654" s="2"/>
      <c r="F654" s="2"/>
      <c r="G654" s="8" t="s">
        <v>861</v>
      </c>
      <c r="H654" s="2"/>
      <c r="I654" s="2"/>
      <c r="J654" s="8" t="s">
        <v>862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4.25" customHeight="1">
      <c r="A655" s="2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4.25" customHeight="1">
      <c r="A656" s="22"/>
      <c r="B656" s="4"/>
      <c r="C656" s="4"/>
      <c r="D656" s="5"/>
      <c r="E656" s="4"/>
      <c r="F656" s="4"/>
      <c r="G656" s="4"/>
      <c r="H656" s="4"/>
      <c r="I656" s="4"/>
      <c r="J656" s="4"/>
      <c r="K656" s="4"/>
      <c r="L656" s="4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4.25" customHeight="1">
      <c r="A657" s="36" t="s">
        <v>863</v>
      </c>
      <c r="B657" s="25">
        <v>44447.0</v>
      </c>
      <c r="C657" s="53" t="s">
        <v>864</v>
      </c>
      <c r="D657" s="8" t="s">
        <v>865</v>
      </c>
      <c r="E657" s="8" t="s">
        <v>866</v>
      </c>
      <c r="F657" s="8" t="s">
        <v>867</v>
      </c>
      <c r="G657" s="8" t="s">
        <v>242</v>
      </c>
      <c r="H657" s="8"/>
      <c r="I657" s="8" t="s">
        <v>668</v>
      </c>
      <c r="J657" s="8" t="s">
        <v>868</v>
      </c>
      <c r="K657" s="8"/>
      <c r="L657" s="8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4.25" customHeight="1">
      <c r="A658" s="26"/>
      <c r="B658" s="2"/>
      <c r="C658" s="8"/>
      <c r="D658" s="2"/>
      <c r="E658" s="2"/>
      <c r="F658" s="2"/>
      <c r="G658" s="8" t="s">
        <v>813</v>
      </c>
      <c r="H658" s="2"/>
      <c r="I658" s="2"/>
      <c r="J658" s="8" t="s">
        <v>869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4.25" customHeight="1">
      <c r="A659" s="26"/>
      <c r="B659" s="2"/>
      <c r="C659" s="8"/>
      <c r="D659" s="2"/>
      <c r="E659" s="2"/>
      <c r="F659" s="2"/>
      <c r="G659" s="8" t="s">
        <v>870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4.25" customHeight="1">
      <c r="A660" s="22"/>
      <c r="B660" s="4"/>
      <c r="C660" s="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4.25" customHeight="1">
      <c r="A661" s="36" t="s">
        <v>871</v>
      </c>
      <c r="B661" s="25">
        <v>44447.0</v>
      </c>
      <c r="C661" s="53" t="s">
        <v>864</v>
      </c>
      <c r="D661" s="8" t="s">
        <v>865</v>
      </c>
      <c r="E661" s="8"/>
      <c r="F661" s="8" t="s">
        <v>867</v>
      </c>
      <c r="G661" s="8" t="s">
        <v>242</v>
      </c>
      <c r="H661" s="8"/>
      <c r="I661" s="8" t="s">
        <v>668</v>
      </c>
      <c r="J661" s="8" t="s">
        <v>847</v>
      </c>
      <c r="K661" s="8" t="s">
        <v>872</v>
      </c>
      <c r="L661" s="8"/>
      <c r="M661" s="8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4.25" customHeight="1">
      <c r="A662" s="26"/>
      <c r="B662" s="2"/>
      <c r="C662" s="8"/>
      <c r="D662" s="2"/>
      <c r="E662" s="8" t="s">
        <v>873</v>
      </c>
      <c r="F662" s="2"/>
      <c r="G662" s="8" t="s">
        <v>813</v>
      </c>
      <c r="H662" s="2"/>
      <c r="I662" s="2"/>
      <c r="J662" s="8" t="s">
        <v>874</v>
      </c>
      <c r="K662" s="8" t="s">
        <v>875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4.25" customHeight="1">
      <c r="A663" s="26"/>
      <c r="B663" s="2"/>
      <c r="C663" s="8"/>
      <c r="D663" s="2"/>
      <c r="E663" s="2"/>
      <c r="F663" s="2"/>
      <c r="G663" s="8" t="s">
        <v>876</v>
      </c>
      <c r="H663" s="2"/>
      <c r="I663" s="2"/>
      <c r="J663" s="2"/>
      <c r="K663" s="8" t="s">
        <v>877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4.25" customHeight="1">
      <c r="A664" s="22"/>
      <c r="B664" s="4"/>
      <c r="C664" s="5"/>
      <c r="D664" s="4"/>
      <c r="E664" s="4"/>
      <c r="F664" s="4"/>
      <c r="G664" s="4"/>
      <c r="H664" s="4"/>
      <c r="I664" s="4"/>
      <c r="J664" s="4"/>
      <c r="K664" s="5" t="s">
        <v>878</v>
      </c>
      <c r="L664" s="4"/>
      <c r="M664" s="4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4.25" customHeight="1">
      <c r="A665" s="36" t="s">
        <v>879</v>
      </c>
      <c r="B665" s="25">
        <v>44449.0</v>
      </c>
      <c r="C665" s="53" t="s">
        <v>880</v>
      </c>
      <c r="D665" s="8" t="s">
        <v>865</v>
      </c>
      <c r="E665" s="8">
        <v>2.4865002E7</v>
      </c>
      <c r="F665" s="8" t="s">
        <v>58</v>
      </c>
      <c r="G665" s="8" t="s">
        <v>242</v>
      </c>
      <c r="H665" s="8"/>
      <c r="I665" s="8" t="s">
        <v>225</v>
      </c>
      <c r="J665" s="8" t="s">
        <v>853</v>
      </c>
      <c r="K665" s="8"/>
      <c r="L665" s="8"/>
      <c r="M665" s="8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4.25" customHeight="1">
      <c r="A666" s="26"/>
      <c r="B666" s="2"/>
      <c r="C666" s="8"/>
      <c r="D666" s="2"/>
      <c r="E666" s="2"/>
      <c r="F666" s="8" t="s">
        <v>881</v>
      </c>
      <c r="G666" s="8" t="s">
        <v>882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4.25" customHeight="1">
      <c r="A667" s="26"/>
      <c r="B667" s="2"/>
      <c r="C667" s="8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4.25" customHeight="1">
      <c r="A668" s="2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4.25" customHeight="1">
      <c r="A669" s="36" t="s">
        <v>883</v>
      </c>
      <c r="B669" s="25">
        <v>44454.0</v>
      </c>
      <c r="C669" s="53" t="s">
        <v>884</v>
      </c>
      <c r="D669" s="8" t="s">
        <v>40</v>
      </c>
      <c r="E669" s="8"/>
      <c r="F669" s="8" t="s">
        <v>885</v>
      </c>
      <c r="G669" s="8" t="s">
        <v>397</v>
      </c>
      <c r="H669" s="8"/>
      <c r="I669" s="8" t="s">
        <v>886</v>
      </c>
      <c r="J669" s="8" t="s">
        <v>887</v>
      </c>
      <c r="K669" s="8"/>
      <c r="L669" s="8"/>
      <c r="M669" s="8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4.25" customHeight="1">
      <c r="A670" s="26"/>
      <c r="B670" s="2"/>
      <c r="C670" s="8"/>
      <c r="D670" s="2"/>
      <c r="E670" s="2"/>
      <c r="F670" s="2"/>
      <c r="G670" s="8" t="s">
        <v>861</v>
      </c>
      <c r="H670" s="2"/>
      <c r="I670" s="2"/>
      <c r="J670" s="8" t="s">
        <v>888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4.25" customHeight="1">
      <c r="A671" s="26"/>
      <c r="B671" s="2"/>
      <c r="C671" s="8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4.25" customHeight="1">
      <c r="A672" s="2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4.25" customHeight="1">
      <c r="A673" s="36" t="s">
        <v>889</v>
      </c>
      <c r="B673" s="25">
        <v>44454.0</v>
      </c>
      <c r="C673" s="53" t="s">
        <v>884</v>
      </c>
      <c r="D673" s="8" t="s">
        <v>40</v>
      </c>
      <c r="E673" s="8"/>
      <c r="F673" s="8" t="s">
        <v>885</v>
      </c>
      <c r="G673" s="8" t="s">
        <v>397</v>
      </c>
      <c r="H673" s="8"/>
      <c r="I673" s="8" t="s">
        <v>886</v>
      </c>
      <c r="J673" s="8" t="s">
        <v>890</v>
      </c>
      <c r="K673" s="8"/>
      <c r="L673" s="8"/>
      <c r="M673" s="8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4.25" customHeight="1">
      <c r="A674" s="26"/>
      <c r="B674" s="2"/>
      <c r="C674" s="8"/>
      <c r="D674" s="2"/>
      <c r="E674" s="2"/>
      <c r="F674" s="2"/>
      <c r="G674" s="8" t="s">
        <v>861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4.25" customHeight="1">
      <c r="A675" s="26"/>
      <c r="B675" s="2"/>
      <c r="C675" s="8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4.25" customHeight="1">
      <c r="A676" s="2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4.25" customHeight="1">
      <c r="A677" s="36" t="s">
        <v>891</v>
      </c>
      <c r="B677" s="25">
        <v>44460.0</v>
      </c>
      <c r="C677" s="3" t="s">
        <v>544</v>
      </c>
      <c r="D677" s="8" t="s">
        <v>406</v>
      </c>
      <c r="E677" s="64" t="s">
        <v>892</v>
      </c>
      <c r="F677" s="8" t="s">
        <v>386</v>
      </c>
      <c r="G677" s="8" t="s">
        <v>397</v>
      </c>
      <c r="H677" s="8"/>
      <c r="I677" s="8" t="s">
        <v>22</v>
      </c>
      <c r="J677" s="8" t="s">
        <v>893</v>
      </c>
      <c r="K677" s="8"/>
      <c r="L677" s="8"/>
      <c r="M677" s="8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4.25" customHeight="1">
      <c r="A678" s="26"/>
      <c r="B678" s="2"/>
      <c r="C678" s="8"/>
      <c r="D678" s="2"/>
      <c r="E678" s="2"/>
      <c r="F678" s="2"/>
      <c r="G678" s="8" t="s">
        <v>894</v>
      </c>
      <c r="H678" s="8"/>
      <c r="I678" s="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4.25" customHeight="1">
      <c r="A679" s="26"/>
      <c r="B679" s="2"/>
      <c r="C679" s="8"/>
      <c r="D679" s="2"/>
      <c r="E679" s="2"/>
      <c r="F679" s="2"/>
      <c r="G679" s="2"/>
      <c r="H679" s="8"/>
      <c r="I679" s="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4.25" customHeight="1">
      <c r="A680" s="22"/>
      <c r="B680" s="4"/>
      <c r="C680" s="4"/>
      <c r="D680" s="4"/>
      <c r="E680" s="4"/>
      <c r="F680" s="4"/>
      <c r="G680" s="4"/>
      <c r="H680" s="5"/>
      <c r="I680" s="5"/>
      <c r="J680" s="5"/>
      <c r="K680" s="5"/>
      <c r="L680" s="4"/>
      <c r="M680" s="4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4.25" customHeight="1">
      <c r="A681" s="36" t="s">
        <v>895</v>
      </c>
      <c r="B681" s="25">
        <v>44460.0</v>
      </c>
      <c r="C681" s="46" t="s">
        <v>896</v>
      </c>
      <c r="D681" s="8" t="s">
        <v>406</v>
      </c>
      <c r="E681" s="8" t="s">
        <v>897</v>
      </c>
      <c r="F681" s="8" t="s">
        <v>386</v>
      </c>
      <c r="G681" s="8" t="s">
        <v>397</v>
      </c>
      <c r="H681" s="8"/>
      <c r="I681" s="8" t="s">
        <v>22</v>
      </c>
      <c r="J681" s="2"/>
      <c r="K681" s="2"/>
      <c r="L681" s="8"/>
      <c r="M681" s="8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4.25" customHeight="1">
      <c r="A682" s="26"/>
      <c r="B682" s="2"/>
      <c r="C682" s="8"/>
      <c r="D682" s="2"/>
      <c r="E682" s="2"/>
      <c r="F682" s="2"/>
      <c r="G682" s="8" t="s">
        <v>894</v>
      </c>
      <c r="H682" s="8"/>
      <c r="I682" s="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4.25" customHeight="1">
      <c r="A683" s="26"/>
      <c r="B683" s="2"/>
      <c r="C683" s="8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4.25" customHeight="1">
      <c r="A684" s="22"/>
      <c r="B684" s="4"/>
      <c r="C684" s="4"/>
      <c r="D684" s="4"/>
      <c r="E684" s="4"/>
      <c r="F684" s="4"/>
      <c r="G684" s="4"/>
      <c r="H684" s="4"/>
      <c r="I684" s="4"/>
      <c r="J684" s="5"/>
      <c r="K684" s="4"/>
      <c r="L684" s="4"/>
      <c r="M684" s="4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4.25" customHeight="1">
      <c r="A685" s="36" t="s">
        <v>898</v>
      </c>
      <c r="B685" s="25">
        <v>44467.0</v>
      </c>
      <c r="C685" s="3" t="s">
        <v>899</v>
      </c>
      <c r="D685" s="8" t="s">
        <v>40</v>
      </c>
      <c r="E685" s="8">
        <v>1.9494545E7</v>
      </c>
      <c r="F685" s="8" t="s">
        <v>386</v>
      </c>
      <c r="G685" s="8" t="s">
        <v>397</v>
      </c>
      <c r="H685" s="8"/>
      <c r="I685" s="8" t="s">
        <v>225</v>
      </c>
      <c r="J685" s="8" t="s">
        <v>900</v>
      </c>
      <c r="K685" s="8" t="s">
        <v>860</v>
      </c>
      <c r="L685" s="8"/>
      <c r="M685" s="8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4.25" customHeight="1">
      <c r="A686" s="26"/>
      <c r="B686" s="2"/>
      <c r="C686" s="8"/>
      <c r="D686" s="2"/>
      <c r="E686" s="2"/>
      <c r="F686" s="2"/>
      <c r="G686" s="8" t="s">
        <v>901</v>
      </c>
      <c r="H686" s="2"/>
      <c r="I686" s="2"/>
      <c r="J686" s="8"/>
      <c r="K686" s="8" t="s">
        <v>902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4.25" customHeight="1">
      <c r="A687" s="26"/>
      <c r="B687" s="2"/>
      <c r="C687" s="8"/>
      <c r="D687" s="2"/>
      <c r="E687" s="2"/>
      <c r="F687" s="2"/>
      <c r="G687" s="2"/>
      <c r="H687" s="2"/>
      <c r="I687" s="2"/>
      <c r="J687" s="8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4.25" customHeight="1">
      <c r="A688" s="22"/>
      <c r="B688" s="4"/>
      <c r="C688" s="4"/>
      <c r="D688" s="4"/>
      <c r="E688" s="4"/>
      <c r="F688" s="4"/>
      <c r="G688" s="4"/>
      <c r="H688" s="4"/>
      <c r="I688" s="5"/>
      <c r="J688" s="5"/>
      <c r="K688" s="4"/>
      <c r="L688" s="4"/>
      <c r="M688" s="4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4.25" customHeight="1">
      <c r="A689" s="36" t="s">
        <v>903</v>
      </c>
      <c r="B689" s="25">
        <v>44470.0</v>
      </c>
      <c r="C689" s="3" t="s">
        <v>904</v>
      </c>
      <c r="D689" s="8" t="s">
        <v>40</v>
      </c>
      <c r="E689" s="24" t="s">
        <v>905</v>
      </c>
      <c r="F689" s="8" t="s">
        <v>386</v>
      </c>
      <c r="G689" s="8" t="s">
        <v>397</v>
      </c>
      <c r="H689" s="8"/>
      <c r="I689" s="8" t="s">
        <v>22</v>
      </c>
      <c r="J689" s="8" t="s">
        <v>900</v>
      </c>
      <c r="K689" s="1" t="s">
        <v>906</v>
      </c>
      <c r="L689" s="8"/>
      <c r="M689" s="8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4.25" customHeight="1">
      <c r="A690" s="26"/>
      <c r="B690" s="2"/>
      <c r="C690" s="8"/>
      <c r="D690" s="2"/>
      <c r="E690" s="2"/>
      <c r="F690" s="2"/>
      <c r="G690" s="8"/>
      <c r="H690" s="2"/>
      <c r="I690" s="8"/>
      <c r="J690" s="8"/>
      <c r="K690" s="8" t="s">
        <v>907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4.25" customHeight="1">
      <c r="A691" s="26"/>
      <c r="B691" s="2"/>
      <c r="C691" s="8"/>
      <c r="D691" s="2"/>
      <c r="E691" s="2"/>
      <c r="F691" s="2"/>
      <c r="G691" s="2"/>
      <c r="H691" s="2"/>
      <c r="I691" s="8"/>
      <c r="J691" s="8"/>
      <c r="K691" s="1" t="s">
        <v>908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4.25" customHeight="1">
      <c r="A692" s="22"/>
      <c r="B692" s="4"/>
      <c r="C692" s="4"/>
      <c r="D692" s="4"/>
      <c r="E692" s="4"/>
      <c r="F692" s="4"/>
      <c r="G692" s="4"/>
      <c r="H692" s="4"/>
      <c r="I692" s="5"/>
      <c r="J692" s="5"/>
      <c r="K692" s="4"/>
      <c r="L692" s="4"/>
      <c r="M692" s="4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4.25" customHeight="1">
      <c r="A693" s="36" t="s">
        <v>909</v>
      </c>
      <c r="B693" s="25">
        <v>44470.0</v>
      </c>
      <c r="C693" s="3" t="s">
        <v>910</v>
      </c>
      <c r="D693" s="8" t="s">
        <v>40</v>
      </c>
      <c r="E693" s="8">
        <v>2.0910513E7</v>
      </c>
      <c r="F693" s="8" t="s">
        <v>386</v>
      </c>
      <c r="G693" s="8" t="s">
        <v>397</v>
      </c>
      <c r="H693" s="8"/>
      <c r="I693" s="8" t="s">
        <v>22</v>
      </c>
      <c r="J693" s="8" t="s">
        <v>911</v>
      </c>
      <c r="K693" s="8"/>
      <c r="L693" s="8"/>
      <c r="M693" s="8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4.25" customHeight="1">
      <c r="A694" s="26"/>
      <c r="B694" s="2"/>
      <c r="C694" s="8"/>
      <c r="D694" s="2"/>
      <c r="E694" s="2"/>
      <c r="F694" s="2"/>
      <c r="G694" s="8" t="s">
        <v>912</v>
      </c>
      <c r="H694" s="8" t="s">
        <v>913</v>
      </c>
      <c r="I694" s="8"/>
      <c r="J694" s="8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4.25" customHeight="1">
      <c r="A695" s="26"/>
      <c r="B695" s="2"/>
      <c r="C695" s="8"/>
      <c r="D695" s="2"/>
      <c r="E695" s="2"/>
      <c r="F695" s="2"/>
      <c r="G695" s="2"/>
      <c r="H695" s="2"/>
      <c r="I695" s="8"/>
      <c r="J695" s="8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4.25" customHeight="1">
      <c r="A696" s="22"/>
      <c r="B696" s="4"/>
      <c r="C696" s="4"/>
      <c r="D696" s="4"/>
      <c r="E696" s="4"/>
      <c r="F696" s="4"/>
      <c r="G696" s="4"/>
      <c r="H696" s="4"/>
      <c r="I696" s="5"/>
      <c r="J696" s="5"/>
      <c r="K696" s="4"/>
      <c r="L696" s="4"/>
      <c r="M696" s="4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4.25" customHeight="1">
      <c r="A697" s="36" t="s">
        <v>914</v>
      </c>
      <c r="B697" s="3" t="s">
        <v>914</v>
      </c>
      <c r="C697" s="42" t="s">
        <v>915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ht="14.25" customHeight="1">
      <c r="A698" s="26"/>
      <c r="B698" s="2"/>
      <c r="C698" s="8"/>
      <c r="D698" s="2"/>
      <c r="E698" s="2"/>
      <c r="F698" s="2"/>
      <c r="G698" s="8" t="s">
        <v>916</v>
      </c>
      <c r="H698" s="8" t="s">
        <v>917</v>
      </c>
      <c r="I698" s="8"/>
      <c r="J698" s="8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4.25" customHeight="1">
      <c r="A699" s="26"/>
      <c r="B699" s="2"/>
      <c r="C699" s="8"/>
      <c r="D699" s="2"/>
      <c r="E699" s="2"/>
      <c r="F699" s="2"/>
      <c r="G699" s="8" t="s">
        <v>918</v>
      </c>
      <c r="H699" s="2"/>
      <c r="I699" s="2"/>
      <c r="J699" s="8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4.25" customHeight="1">
      <c r="A700" s="22"/>
      <c r="B700" s="4"/>
      <c r="C700" s="4"/>
      <c r="D700" s="4"/>
      <c r="E700" s="4"/>
      <c r="F700" s="4"/>
      <c r="G700" s="4"/>
      <c r="H700" s="4"/>
      <c r="I700" s="4"/>
      <c r="J700" s="5"/>
      <c r="K700" s="2"/>
      <c r="L700" s="4"/>
      <c r="M700" s="4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4.25" customHeight="1">
      <c r="A701" s="36" t="s">
        <v>919</v>
      </c>
      <c r="B701" s="3" t="s">
        <v>920</v>
      </c>
      <c r="C701" s="3" t="s">
        <v>428</v>
      </c>
      <c r="D701" s="8" t="s">
        <v>40</v>
      </c>
      <c r="E701" s="8" t="s">
        <v>921</v>
      </c>
      <c r="F701" s="8" t="s">
        <v>386</v>
      </c>
      <c r="G701" s="8" t="s">
        <v>397</v>
      </c>
      <c r="H701" s="8" t="s">
        <v>917</v>
      </c>
      <c r="I701" s="8" t="s">
        <v>22</v>
      </c>
      <c r="J701" s="8" t="s">
        <v>922</v>
      </c>
      <c r="K701" s="8" t="s">
        <v>907</v>
      </c>
      <c r="L701" s="8"/>
      <c r="M701" s="8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4.25" customHeight="1">
      <c r="A702" s="26"/>
      <c r="B702" s="2"/>
      <c r="C702" s="8"/>
      <c r="D702" s="2"/>
      <c r="E702" s="2"/>
      <c r="F702" s="2"/>
      <c r="G702" s="8"/>
      <c r="H702" s="2"/>
      <c r="I702" s="2"/>
      <c r="J702" s="8"/>
      <c r="K702" s="8" t="s">
        <v>907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4.25" customHeight="1">
      <c r="A703" s="26"/>
      <c r="B703" s="2"/>
      <c r="C703" s="8"/>
      <c r="D703" s="2"/>
      <c r="E703" s="2"/>
      <c r="F703" s="2"/>
      <c r="G703" s="2"/>
      <c r="H703" s="2"/>
      <c r="I703" s="2"/>
      <c r="J703" s="8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4.25" customHeight="1">
      <c r="A704" s="22"/>
      <c r="B704" s="4"/>
      <c r="C704" s="4"/>
      <c r="D704" s="4"/>
      <c r="E704" s="4"/>
      <c r="F704" s="4"/>
      <c r="G704" s="4"/>
      <c r="H704" s="4"/>
      <c r="I704" s="4"/>
      <c r="J704" s="5"/>
      <c r="K704" s="2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4.25" customHeight="1">
      <c r="A705" s="36" t="s">
        <v>923</v>
      </c>
      <c r="B705" s="25">
        <v>44475.0</v>
      </c>
      <c r="C705" s="3" t="s">
        <v>924</v>
      </c>
      <c r="D705" s="8" t="s">
        <v>40</v>
      </c>
      <c r="E705" s="8" t="s">
        <v>925</v>
      </c>
      <c r="F705" s="8" t="s">
        <v>386</v>
      </c>
      <c r="G705" s="8" t="s">
        <v>397</v>
      </c>
      <c r="H705" s="8" t="s">
        <v>917</v>
      </c>
      <c r="I705" s="8" t="s">
        <v>22</v>
      </c>
      <c r="J705" s="8" t="s">
        <v>922</v>
      </c>
      <c r="K705" s="8" t="s">
        <v>907</v>
      </c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ht="14.25" customHeight="1">
      <c r="A706" s="26"/>
      <c r="B706" s="2"/>
      <c r="C706" s="2"/>
      <c r="D706" s="2"/>
      <c r="E706" s="2"/>
      <c r="F706" s="2"/>
      <c r="G706" s="2"/>
      <c r="H706" s="2"/>
      <c r="I706" s="2"/>
      <c r="J706" s="2"/>
      <c r="K706" s="8" t="s">
        <v>907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4.25" customHeight="1">
      <c r="A707" s="2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4.25" customHeight="1">
      <c r="A708" s="2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4.25" customHeight="1">
      <c r="A709" s="36" t="s">
        <v>926</v>
      </c>
      <c r="B709" s="25">
        <v>44475.0</v>
      </c>
      <c r="C709" s="3" t="s">
        <v>927</v>
      </c>
      <c r="D709" s="8" t="s">
        <v>40</v>
      </c>
      <c r="E709" s="8"/>
      <c r="F709" s="8" t="s">
        <v>928</v>
      </c>
      <c r="G709" s="8" t="s">
        <v>595</v>
      </c>
      <c r="H709" s="8"/>
      <c r="I709" s="8" t="s">
        <v>22</v>
      </c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ht="14.25" customHeight="1">
      <c r="A710" s="2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4.25" customHeight="1">
      <c r="A711" s="2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4.25" customHeight="1">
      <c r="A712" s="2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4.25" customHeight="1">
      <c r="A713" s="36" t="s">
        <v>929</v>
      </c>
      <c r="B713" s="37">
        <v>44483.0</v>
      </c>
      <c r="C713" s="3" t="s">
        <v>930</v>
      </c>
      <c r="D713" s="8" t="s">
        <v>931</v>
      </c>
      <c r="E713" s="8" t="s">
        <v>932</v>
      </c>
      <c r="F713" s="8" t="s">
        <v>933</v>
      </c>
      <c r="G713" s="8" t="s">
        <v>397</v>
      </c>
      <c r="H713" s="8" t="s">
        <v>917</v>
      </c>
      <c r="I713" s="8" t="s">
        <v>934</v>
      </c>
      <c r="J713" s="8" t="s">
        <v>468</v>
      </c>
      <c r="K713" s="8" t="s">
        <v>935</v>
      </c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ht="14.25" customHeight="1">
      <c r="A714" s="26"/>
      <c r="B714" s="2"/>
      <c r="C714" s="8"/>
      <c r="D714" s="2"/>
      <c r="E714" s="2"/>
      <c r="F714" s="8"/>
      <c r="G714" s="8" t="s">
        <v>936</v>
      </c>
      <c r="H714" s="2"/>
      <c r="I714" s="2"/>
      <c r="J714" s="8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4.25" customHeight="1">
      <c r="A715" s="26"/>
      <c r="B715" s="2"/>
      <c r="C715" s="8"/>
      <c r="D715" s="2"/>
      <c r="E715" s="2"/>
      <c r="F715" s="8"/>
      <c r="G715" s="2"/>
      <c r="H715" s="2"/>
      <c r="I715" s="2"/>
      <c r="J715" s="8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4.25" customHeight="1">
      <c r="A716" s="22"/>
      <c r="B716" s="4"/>
      <c r="C716" s="5"/>
      <c r="D716" s="4"/>
      <c r="E716" s="4"/>
      <c r="F716" s="5"/>
      <c r="G716" s="4"/>
      <c r="H716" s="4"/>
      <c r="I716" s="4"/>
      <c r="J716" s="5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4.25" customHeight="1">
      <c r="A717" s="36" t="s">
        <v>937</v>
      </c>
      <c r="B717" s="37">
        <v>44483.0</v>
      </c>
      <c r="C717" s="3" t="s">
        <v>930</v>
      </c>
      <c r="D717" s="8" t="s">
        <v>931</v>
      </c>
      <c r="E717" s="8" t="s">
        <v>938</v>
      </c>
      <c r="F717" s="8" t="s">
        <v>933</v>
      </c>
      <c r="G717" s="8" t="s">
        <v>397</v>
      </c>
      <c r="H717" s="8" t="s">
        <v>917</v>
      </c>
      <c r="I717" s="8" t="s">
        <v>934</v>
      </c>
      <c r="J717" s="8" t="s">
        <v>468</v>
      </c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ht="14.25" customHeight="1">
      <c r="A718" s="26"/>
      <c r="B718" s="2"/>
      <c r="C718" s="8"/>
      <c r="D718" s="2"/>
      <c r="E718" s="2"/>
      <c r="F718" s="8"/>
      <c r="G718" s="8" t="s">
        <v>936</v>
      </c>
      <c r="H718" s="2"/>
      <c r="I718" s="2"/>
      <c r="J718" s="8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4.25" customHeight="1">
      <c r="A719" s="26"/>
      <c r="B719" s="2"/>
      <c r="C719" s="8"/>
      <c r="D719" s="2"/>
      <c r="E719" s="2"/>
      <c r="F719" s="8"/>
      <c r="G719" s="2"/>
      <c r="H719" s="2"/>
      <c r="I719" s="2"/>
      <c r="J719" s="8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4.25" customHeight="1">
      <c r="A720" s="22"/>
      <c r="B720" s="4"/>
      <c r="C720" s="5"/>
      <c r="D720" s="4"/>
      <c r="E720" s="4"/>
      <c r="F720" s="5"/>
      <c r="G720" s="4"/>
      <c r="H720" s="4"/>
      <c r="I720" s="4"/>
      <c r="J720" s="5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4.25" customHeight="1">
      <c r="A721" s="36" t="s">
        <v>939</v>
      </c>
      <c r="B721" s="37">
        <v>44483.0</v>
      </c>
      <c r="C721" s="3" t="s">
        <v>930</v>
      </c>
      <c r="D721" s="8" t="s">
        <v>931</v>
      </c>
      <c r="E721" s="8" t="s">
        <v>940</v>
      </c>
      <c r="F721" s="8" t="s">
        <v>933</v>
      </c>
      <c r="G721" s="8" t="s">
        <v>397</v>
      </c>
      <c r="H721" s="8" t="s">
        <v>917</v>
      </c>
      <c r="I721" s="8" t="s">
        <v>934</v>
      </c>
      <c r="J721" s="8" t="s">
        <v>468</v>
      </c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ht="14.25" customHeight="1">
      <c r="A722" s="26"/>
      <c r="B722" s="2"/>
      <c r="C722" s="8"/>
      <c r="D722" s="8"/>
      <c r="E722" s="2"/>
      <c r="F722" s="8"/>
      <c r="G722" s="8" t="s">
        <v>936</v>
      </c>
      <c r="H722" s="2"/>
      <c r="I722" s="2"/>
      <c r="J722" s="8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4.25" customHeight="1">
      <c r="A723" s="26"/>
      <c r="B723" s="2"/>
      <c r="C723" s="8"/>
      <c r="D723" s="2"/>
      <c r="E723" s="2"/>
      <c r="F723" s="8"/>
      <c r="G723" s="2"/>
      <c r="H723" s="2"/>
      <c r="I723" s="2"/>
      <c r="J723" s="8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4.25" customHeight="1">
      <c r="A724" s="22"/>
      <c r="B724" s="4"/>
      <c r="C724" s="5"/>
      <c r="D724" s="4"/>
      <c r="E724" s="4"/>
      <c r="F724" s="5"/>
      <c r="G724" s="4"/>
      <c r="H724" s="4"/>
      <c r="I724" s="4"/>
      <c r="J724" s="5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4.25" customHeight="1">
      <c r="A725" s="36" t="s">
        <v>941</v>
      </c>
      <c r="B725" s="37">
        <v>44483.0</v>
      </c>
      <c r="C725" s="3" t="s">
        <v>930</v>
      </c>
      <c r="D725" s="8" t="s">
        <v>931</v>
      </c>
      <c r="E725" s="8" t="s">
        <v>942</v>
      </c>
      <c r="F725" s="8" t="s">
        <v>933</v>
      </c>
      <c r="G725" s="8" t="s">
        <v>397</v>
      </c>
      <c r="H725" s="8" t="s">
        <v>917</v>
      </c>
      <c r="I725" s="8" t="s">
        <v>934</v>
      </c>
      <c r="J725" s="8" t="s">
        <v>468</v>
      </c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ht="14.25" customHeight="1">
      <c r="A726" s="26"/>
      <c r="B726" s="2"/>
      <c r="C726" s="2"/>
      <c r="D726" s="2"/>
      <c r="E726" s="2"/>
      <c r="F726" s="8"/>
      <c r="G726" s="8" t="s">
        <v>936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4.25" customHeight="1">
      <c r="A727" s="26"/>
      <c r="B727" s="2"/>
      <c r="C727" s="8"/>
      <c r="D727" s="2"/>
      <c r="E727" s="2"/>
      <c r="F727" s="8"/>
      <c r="G727" s="2"/>
      <c r="H727" s="2"/>
      <c r="I727" s="2"/>
      <c r="J727" s="8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4.25" customHeight="1">
      <c r="A728" s="22"/>
      <c r="B728" s="4"/>
      <c r="C728" s="5"/>
      <c r="D728" s="4"/>
      <c r="E728" s="4"/>
      <c r="F728" s="5"/>
      <c r="G728" s="4"/>
      <c r="H728" s="4"/>
      <c r="I728" s="4"/>
      <c r="J728" s="5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4.25" customHeight="1">
      <c r="A729" s="36" t="s">
        <v>943</v>
      </c>
      <c r="B729" s="3" t="s">
        <v>944</v>
      </c>
      <c r="C729" s="3"/>
      <c r="D729" s="8"/>
      <c r="E729" s="8"/>
      <c r="F729" s="8"/>
      <c r="G729" s="8"/>
      <c r="H729" s="8"/>
      <c r="I729" s="8"/>
      <c r="J729" s="8" t="s">
        <v>468</v>
      </c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ht="14.25" customHeight="1">
      <c r="A730" s="26"/>
      <c r="B730" s="2"/>
      <c r="C730" s="2"/>
      <c r="D730" s="2"/>
      <c r="E730" s="2"/>
      <c r="F730" s="8"/>
      <c r="G730" s="8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4.25" customHeight="1">
      <c r="A731" s="26"/>
      <c r="B731" s="2"/>
      <c r="C731" s="2"/>
      <c r="D731" s="2"/>
      <c r="E731" s="2"/>
      <c r="F731" s="8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4.25" customHeight="1">
      <c r="A732" s="22"/>
      <c r="B732" s="4"/>
      <c r="C732" s="4"/>
      <c r="D732" s="4"/>
      <c r="E732" s="4"/>
      <c r="F732" s="5"/>
      <c r="G732" s="4"/>
      <c r="H732" s="4"/>
      <c r="I732" s="4"/>
      <c r="J732" s="4"/>
      <c r="K732" s="4"/>
      <c r="L732" s="4"/>
      <c r="M732" s="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4.25" customHeight="1">
      <c r="A733" s="36" t="s">
        <v>945</v>
      </c>
      <c r="B733" s="37">
        <v>44488.0</v>
      </c>
      <c r="C733" s="3" t="s">
        <v>946</v>
      </c>
      <c r="D733" s="8" t="s">
        <v>40</v>
      </c>
      <c r="E733" s="8">
        <v>1.7963235E7</v>
      </c>
      <c r="F733" s="8" t="s">
        <v>947</v>
      </c>
      <c r="G733" s="8" t="s">
        <v>948</v>
      </c>
      <c r="H733" s="8" t="s">
        <v>949</v>
      </c>
      <c r="I733" s="8" t="s">
        <v>34</v>
      </c>
      <c r="J733" s="8" t="s">
        <v>950</v>
      </c>
      <c r="K733" s="8"/>
      <c r="L733" s="8"/>
      <c r="M733" s="8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6"/>
      <c r="B734" s="2"/>
      <c r="C734" s="8"/>
      <c r="D734" s="2"/>
      <c r="E734" s="2"/>
      <c r="F734" s="8" t="s">
        <v>822</v>
      </c>
      <c r="G734" s="2"/>
      <c r="H734" s="2"/>
      <c r="I734" s="2"/>
      <c r="J734" s="8" t="s">
        <v>951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6"/>
      <c r="B735" s="2"/>
      <c r="C735" s="8"/>
      <c r="D735" s="2"/>
      <c r="E735" s="2"/>
      <c r="F735" s="8" t="s">
        <v>58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2"/>
      <c r="B736" s="4"/>
      <c r="C736" s="5"/>
      <c r="D736" s="4"/>
      <c r="E736" s="4"/>
      <c r="F736" s="5"/>
      <c r="G736" s="4"/>
      <c r="H736" s="4"/>
      <c r="I736" s="4"/>
      <c r="J736" s="4"/>
      <c r="K736" s="4"/>
      <c r="L736" s="4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4.25" customHeight="1">
      <c r="A737" s="36" t="s">
        <v>952</v>
      </c>
      <c r="B737" s="37">
        <v>44489.0</v>
      </c>
      <c r="C737" s="3" t="s">
        <v>953</v>
      </c>
      <c r="D737" s="8" t="s">
        <v>954</v>
      </c>
      <c r="E737" s="8" t="s">
        <v>955</v>
      </c>
      <c r="F737" s="8" t="s">
        <v>956</v>
      </c>
      <c r="G737" s="8" t="s">
        <v>948</v>
      </c>
      <c r="H737" s="8" t="s">
        <v>917</v>
      </c>
      <c r="I737" s="8" t="s">
        <v>957</v>
      </c>
      <c r="J737" s="8" t="s">
        <v>958</v>
      </c>
      <c r="K737" s="8"/>
      <c r="L737" s="8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4.25" customHeight="1">
      <c r="A738" s="26"/>
      <c r="B738" s="2"/>
      <c r="C738" s="8"/>
      <c r="D738" s="2"/>
      <c r="E738" s="2"/>
      <c r="F738" s="8" t="s">
        <v>959</v>
      </c>
      <c r="G738" s="2"/>
      <c r="H738" s="2"/>
      <c r="I738" s="2"/>
      <c r="J738" s="8" t="s">
        <v>960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4.25" customHeight="1">
      <c r="A739" s="26"/>
      <c r="B739" s="2"/>
      <c r="C739" s="8"/>
      <c r="D739" s="2"/>
      <c r="E739" s="2"/>
      <c r="F739" s="8" t="s">
        <v>58</v>
      </c>
      <c r="G739" s="2"/>
      <c r="H739" s="2"/>
      <c r="I739" s="2"/>
      <c r="J739" s="8" t="s">
        <v>961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4.25" customHeight="1">
      <c r="A740" s="22"/>
      <c r="B740" s="4"/>
      <c r="C740" s="5"/>
      <c r="D740" s="4"/>
      <c r="E740" s="4"/>
      <c r="F740" s="5"/>
      <c r="G740" s="4"/>
      <c r="H740" s="4"/>
      <c r="I740" s="4"/>
      <c r="J740" s="4"/>
      <c r="K740" s="4"/>
      <c r="L740" s="4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4.25" customHeight="1">
      <c r="A741" s="36" t="s">
        <v>962</v>
      </c>
      <c r="B741" s="37">
        <v>44489.0</v>
      </c>
      <c r="C741" s="3" t="s">
        <v>963</v>
      </c>
      <c r="D741" s="8" t="s">
        <v>954</v>
      </c>
      <c r="E741" s="8" t="s">
        <v>964</v>
      </c>
      <c r="F741" s="8" t="s">
        <v>965</v>
      </c>
      <c r="G741" s="8" t="s">
        <v>948</v>
      </c>
      <c r="H741" s="8" t="s">
        <v>917</v>
      </c>
      <c r="I741" s="8" t="s">
        <v>225</v>
      </c>
      <c r="J741" s="8" t="s">
        <v>966</v>
      </c>
      <c r="K741" s="8"/>
      <c r="L741" s="8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4.25" customHeight="1">
      <c r="A742" s="26"/>
      <c r="B742" s="2"/>
      <c r="C742" s="2"/>
      <c r="D742" s="2"/>
      <c r="E742" s="2"/>
      <c r="F742" s="2"/>
      <c r="G742" s="2"/>
      <c r="H742" s="2"/>
      <c r="I742" s="2"/>
      <c r="J742" s="8" t="s">
        <v>967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4.25" customHeight="1">
      <c r="A743" s="2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4.25" customHeight="1">
      <c r="A744" s="2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4.25" customHeight="1">
      <c r="A745" s="36" t="s">
        <v>968</v>
      </c>
      <c r="B745" s="37">
        <v>44491.0</v>
      </c>
      <c r="C745" s="3" t="s">
        <v>969</v>
      </c>
      <c r="D745" s="8" t="s">
        <v>40</v>
      </c>
      <c r="E745" s="8" t="s">
        <v>970</v>
      </c>
      <c r="F745" s="8" t="s">
        <v>386</v>
      </c>
      <c r="G745" s="8" t="s">
        <v>948</v>
      </c>
      <c r="H745" s="8"/>
      <c r="I745" s="8" t="s">
        <v>22</v>
      </c>
      <c r="J745" s="8" t="s">
        <v>971</v>
      </c>
      <c r="K745" s="8" t="s">
        <v>972</v>
      </c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ht="14.25" customHeight="1">
      <c r="A746" s="26"/>
      <c r="B746" s="2"/>
      <c r="C746" s="2"/>
      <c r="D746" s="2"/>
      <c r="E746" s="2"/>
      <c r="F746" s="2"/>
      <c r="G746" s="8" t="s">
        <v>973</v>
      </c>
      <c r="H746" s="2"/>
      <c r="I746" s="2"/>
      <c r="J746" s="8"/>
      <c r="K746" s="8" t="s">
        <v>974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4.25" customHeight="1">
      <c r="A747" s="2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4.25" customHeight="1">
      <c r="A748" s="2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4.25" customHeight="1">
      <c r="A749" s="36" t="s">
        <v>975</v>
      </c>
      <c r="B749" s="37">
        <v>44491.0</v>
      </c>
      <c r="C749" s="65" t="s">
        <v>976</v>
      </c>
      <c r="D749" s="8" t="s">
        <v>40</v>
      </c>
      <c r="E749" s="8" t="s">
        <v>977</v>
      </c>
      <c r="F749" s="8" t="s">
        <v>386</v>
      </c>
      <c r="G749" s="8" t="s">
        <v>397</v>
      </c>
      <c r="H749" s="8"/>
      <c r="I749" s="8" t="s">
        <v>22</v>
      </c>
      <c r="J749" s="8" t="s">
        <v>978</v>
      </c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ht="14.25" customHeight="1">
      <c r="A750" s="2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4.25" customHeight="1">
      <c r="A751" s="2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4.25" customHeight="1">
      <c r="A752" s="2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4.25" customHeight="1">
      <c r="A753" s="36" t="s">
        <v>979</v>
      </c>
      <c r="B753" s="37">
        <v>44491.0</v>
      </c>
      <c r="C753" s="3" t="s">
        <v>980</v>
      </c>
      <c r="D753" s="8" t="s">
        <v>406</v>
      </c>
      <c r="E753" s="51" t="s">
        <v>981</v>
      </c>
      <c r="F753" s="8" t="s">
        <v>386</v>
      </c>
      <c r="G753" s="8" t="s">
        <v>397</v>
      </c>
      <c r="H753" s="8" t="s">
        <v>917</v>
      </c>
      <c r="I753" s="8" t="s">
        <v>225</v>
      </c>
      <c r="J753" s="8" t="s">
        <v>982</v>
      </c>
      <c r="K753" s="8"/>
      <c r="L753" s="8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4.25" customHeight="1">
      <c r="A754" s="26"/>
      <c r="B754" s="2"/>
      <c r="C754" s="2"/>
      <c r="D754" s="2"/>
      <c r="E754" s="2"/>
      <c r="F754" s="2"/>
      <c r="G754" s="2"/>
      <c r="H754" s="2"/>
      <c r="I754" s="2"/>
      <c r="J754" s="8" t="s">
        <v>862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4.25" customHeight="1">
      <c r="A755" s="2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4.25" customHeight="1">
      <c r="A756" s="2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4.25" customHeight="1">
      <c r="A757" s="36" t="s">
        <v>983</v>
      </c>
      <c r="B757" s="37">
        <v>44491.0</v>
      </c>
      <c r="C757" s="3" t="s">
        <v>984</v>
      </c>
      <c r="D757" s="8" t="s">
        <v>40</v>
      </c>
      <c r="E757" s="8"/>
      <c r="F757" s="8" t="s">
        <v>985</v>
      </c>
      <c r="G757" s="8" t="s">
        <v>986</v>
      </c>
      <c r="H757" s="8" t="s">
        <v>917</v>
      </c>
      <c r="I757" s="8" t="s">
        <v>34</v>
      </c>
      <c r="J757" s="8" t="s">
        <v>987</v>
      </c>
      <c r="K757" s="8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4.25" customHeight="1">
      <c r="A758" s="26"/>
      <c r="B758" s="2"/>
      <c r="C758" s="2"/>
      <c r="D758" s="2"/>
      <c r="E758" s="2"/>
      <c r="F758" s="2"/>
      <c r="G758" s="2"/>
      <c r="H758" s="2"/>
      <c r="I758" s="2"/>
      <c r="J758" s="8" t="s">
        <v>988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4.25" customHeight="1">
      <c r="A759" s="26"/>
      <c r="B759" s="2"/>
      <c r="C759" s="2"/>
      <c r="D759" s="2"/>
      <c r="E759" s="2"/>
      <c r="F759" s="2"/>
      <c r="G759" s="2"/>
      <c r="H759" s="2"/>
      <c r="I759" s="2"/>
      <c r="J759" s="8" t="s">
        <v>989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4.25" customHeight="1">
      <c r="A760" s="22"/>
      <c r="B760" s="4"/>
      <c r="C760" s="4"/>
      <c r="D760" s="4"/>
      <c r="E760" s="4"/>
      <c r="F760" s="4"/>
      <c r="G760" s="4"/>
      <c r="H760" s="4"/>
      <c r="I760" s="4"/>
      <c r="J760" s="5" t="s">
        <v>967</v>
      </c>
      <c r="K760" s="4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4.25" customHeight="1">
      <c r="A761" s="36" t="s">
        <v>990</v>
      </c>
      <c r="B761" s="37">
        <v>44498.0</v>
      </c>
      <c r="C761" s="3" t="s">
        <v>433</v>
      </c>
      <c r="D761" s="8" t="s">
        <v>373</v>
      </c>
      <c r="E761" s="8"/>
      <c r="F761" s="8" t="s">
        <v>991</v>
      </c>
      <c r="G761" s="8" t="s">
        <v>992</v>
      </c>
      <c r="H761" s="8"/>
      <c r="I761" s="8"/>
      <c r="J761" s="8"/>
      <c r="K761" s="8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4.25" customHeight="1">
      <c r="A762" s="26"/>
      <c r="B762" s="2"/>
      <c r="C762" s="2"/>
      <c r="D762" s="2"/>
      <c r="E762" s="2"/>
      <c r="F762" s="8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4.25" customHeight="1">
      <c r="A763" s="26"/>
      <c r="B763" s="2"/>
      <c r="C763" s="2"/>
      <c r="D763" s="2"/>
      <c r="E763" s="2"/>
      <c r="F763" s="8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4.25" customHeight="1">
      <c r="A764" s="22"/>
      <c r="B764" s="4"/>
      <c r="C764" s="4"/>
      <c r="D764" s="4"/>
      <c r="E764" s="4"/>
      <c r="F764" s="5"/>
      <c r="G764" s="4"/>
      <c r="H764" s="4"/>
      <c r="I764" s="4"/>
      <c r="J764" s="4"/>
      <c r="K764" s="4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4.25" customHeight="1">
      <c r="A765" s="36" t="s">
        <v>993</v>
      </c>
      <c r="B765" s="37">
        <v>44498.0</v>
      </c>
      <c r="C765" s="3" t="s">
        <v>994</v>
      </c>
      <c r="D765" s="8" t="s">
        <v>373</v>
      </c>
      <c r="E765" s="8"/>
      <c r="F765" s="8" t="s">
        <v>991</v>
      </c>
      <c r="G765" s="8" t="s">
        <v>992</v>
      </c>
      <c r="H765" s="8"/>
      <c r="I765" s="8" t="s">
        <v>22</v>
      </c>
      <c r="J765" s="8"/>
      <c r="K765" s="8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4.25" customHeight="1">
      <c r="A766" s="26"/>
      <c r="B766" s="2"/>
      <c r="C766" s="2"/>
      <c r="D766" s="2"/>
      <c r="E766" s="2"/>
      <c r="F766" s="8" t="s">
        <v>995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4.25" customHeight="1">
      <c r="A767" s="2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4.25" customHeight="1">
      <c r="A768" s="2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4.25" customHeight="1">
      <c r="A769" s="36" t="s">
        <v>996</v>
      </c>
      <c r="B769" s="37">
        <v>44499.0</v>
      </c>
      <c r="C769" s="3" t="s">
        <v>997</v>
      </c>
      <c r="D769" s="8" t="s">
        <v>998</v>
      </c>
      <c r="E769" s="8"/>
      <c r="F769" s="8" t="s">
        <v>999</v>
      </c>
      <c r="G769" s="8" t="s">
        <v>1000</v>
      </c>
      <c r="H769" s="8"/>
      <c r="I769" s="8" t="s">
        <v>22</v>
      </c>
      <c r="J769" s="8"/>
      <c r="K769" s="8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4.25" customHeight="1">
      <c r="A770" s="2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4.25" customHeight="1">
      <c r="A771" s="2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4.25" customHeight="1">
      <c r="A772" s="2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4.25" customHeight="1">
      <c r="A773" s="36" t="s">
        <v>1001</v>
      </c>
      <c r="B773" s="37">
        <v>44504.0</v>
      </c>
      <c r="C773" s="3" t="s">
        <v>85</v>
      </c>
      <c r="D773" s="8" t="s">
        <v>954</v>
      </c>
      <c r="E773" s="8" t="s">
        <v>1002</v>
      </c>
      <c r="F773" s="8" t="s">
        <v>1003</v>
      </c>
      <c r="G773" s="8" t="s">
        <v>723</v>
      </c>
      <c r="H773" s="8" t="s">
        <v>917</v>
      </c>
      <c r="I773" s="8" t="s">
        <v>22</v>
      </c>
      <c r="J773" s="8" t="s">
        <v>1004</v>
      </c>
      <c r="K773" s="8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4.25" customHeight="1">
      <c r="A774" s="26"/>
      <c r="B774" s="2"/>
      <c r="C774" s="2"/>
      <c r="D774" s="2"/>
      <c r="E774" s="2"/>
      <c r="F774" s="2"/>
      <c r="G774" s="8" t="s">
        <v>1005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4.25" customHeight="1">
      <c r="A775" s="2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4.25" customHeight="1">
      <c r="A776" s="2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4.25" customHeight="1">
      <c r="A777" s="36" t="s">
        <v>1006</v>
      </c>
      <c r="B777" s="37">
        <v>44505.0</v>
      </c>
      <c r="C777" s="3" t="s">
        <v>1007</v>
      </c>
      <c r="D777" s="8" t="s">
        <v>40</v>
      </c>
      <c r="E777" s="8">
        <v>2.7767571E7</v>
      </c>
      <c r="F777" s="8" t="s">
        <v>58</v>
      </c>
      <c r="G777" s="8" t="s">
        <v>382</v>
      </c>
      <c r="H777" s="8" t="s">
        <v>917</v>
      </c>
      <c r="I777" s="8" t="s">
        <v>34</v>
      </c>
      <c r="J777" s="8" t="s">
        <v>1008</v>
      </c>
      <c r="K777" s="8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4.25" customHeight="1">
      <c r="A778" s="26"/>
      <c r="B778" s="2"/>
      <c r="C778" s="2"/>
      <c r="D778" s="2"/>
      <c r="E778" s="2"/>
      <c r="F778" s="8"/>
      <c r="G778" s="2"/>
      <c r="H778" s="2"/>
      <c r="I778" s="8"/>
      <c r="J778" s="8" t="s">
        <v>1009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4.25" customHeight="1">
      <c r="A779" s="26"/>
      <c r="B779" s="2"/>
      <c r="C779" s="2"/>
      <c r="D779" s="2"/>
      <c r="E779" s="2"/>
      <c r="F779" s="8"/>
      <c r="G779" s="2"/>
      <c r="H779" s="2"/>
      <c r="I779" s="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4.25" customHeight="1">
      <c r="A780" s="22"/>
      <c r="B780" s="4"/>
      <c r="C780" s="4"/>
      <c r="D780" s="4"/>
      <c r="E780" s="4"/>
      <c r="F780" s="5"/>
      <c r="G780" s="4"/>
      <c r="H780" s="4"/>
      <c r="I780" s="5"/>
      <c r="J780" s="4"/>
      <c r="K780" s="4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4.25" customHeight="1">
      <c r="A781" s="36" t="s">
        <v>1010</v>
      </c>
      <c r="B781" s="37">
        <v>44505.0</v>
      </c>
      <c r="C781" s="37" t="s">
        <v>514</v>
      </c>
      <c r="D781" s="8" t="s">
        <v>40</v>
      </c>
      <c r="E781" s="8" t="s">
        <v>1011</v>
      </c>
      <c r="F781" s="8" t="s">
        <v>58</v>
      </c>
      <c r="G781" s="8" t="s">
        <v>382</v>
      </c>
      <c r="H781" s="8" t="s">
        <v>917</v>
      </c>
      <c r="I781" s="8" t="s">
        <v>34</v>
      </c>
      <c r="J781" s="8" t="s">
        <v>1004</v>
      </c>
      <c r="K781" s="8" t="s">
        <v>1012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4.25" customHeight="1">
      <c r="A782" s="26"/>
      <c r="B782" s="2"/>
      <c r="C782" s="2"/>
      <c r="D782" s="2"/>
      <c r="E782" s="2"/>
      <c r="F782" s="8"/>
      <c r="G782" s="2"/>
      <c r="H782" s="2"/>
      <c r="I782" s="8"/>
      <c r="J782" s="8" t="s">
        <v>1009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4.25" customHeight="1">
      <c r="A783" s="26"/>
      <c r="B783" s="2"/>
      <c r="C783" s="2"/>
      <c r="D783" s="2"/>
      <c r="E783" s="2"/>
      <c r="F783" s="8"/>
      <c r="G783" s="2"/>
      <c r="H783" s="2"/>
      <c r="I783" s="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4.25" customHeight="1">
      <c r="A784" s="22"/>
      <c r="B784" s="4"/>
      <c r="C784" s="4"/>
      <c r="D784" s="4"/>
      <c r="E784" s="4"/>
      <c r="F784" s="5"/>
      <c r="G784" s="4"/>
      <c r="H784" s="4"/>
      <c r="I784" s="5"/>
      <c r="J784" s="4"/>
      <c r="K784" s="4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4.25" customHeight="1">
      <c r="A785" s="36" t="s">
        <v>1013</v>
      </c>
      <c r="B785" s="37">
        <v>44505.0</v>
      </c>
      <c r="C785" s="37" t="s">
        <v>1014</v>
      </c>
      <c r="D785" s="8" t="s">
        <v>40</v>
      </c>
      <c r="E785" s="8" t="s">
        <v>1015</v>
      </c>
      <c r="F785" s="8" t="s">
        <v>58</v>
      </c>
      <c r="G785" s="8" t="s">
        <v>382</v>
      </c>
      <c r="H785" s="8" t="s">
        <v>1016</v>
      </c>
      <c r="I785" s="8" t="s">
        <v>34</v>
      </c>
      <c r="J785" s="5" t="s">
        <v>468</v>
      </c>
      <c r="K785" s="8" t="s">
        <v>1017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4.25" customHeight="1">
      <c r="A786" s="36"/>
      <c r="B786" s="2"/>
      <c r="C786" s="2"/>
      <c r="D786" s="2"/>
      <c r="E786" s="2"/>
      <c r="F786" s="2"/>
      <c r="G786" s="2"/>
      <c r="H786" s="2"/>
      <c r="I786" s="2"/>
      <c r="J786" s="8" t="s">
        <v>468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4.25" customHeight="1">
      <c r="A787" s="22"/>
      <c r="B787" s="4"/>
      <c r="C787" s="4"/>
      <c r="D787" s="4"/>
      <c r="E787" s="4"/>
      <c r="F787" s="5"/>
      <c r="G787" s="4"/>
      <c r="H787" s="4"/>
      <c r="I787" s="5"/>
      <c r="J787" s="5"/>
      <c r="K787" s="4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4.25" customHeight="1">
      <c r="A788" s="44" t="s">
        <v>1018</v>
      </c>
      <c r="B788" s="37">
        <v>44505.0</v>
      </c>
      <c r="C788" s="3" t="s">
        <v>1019</v>
      </c>
      <c r="D788" s="8" t="s">
        <v>954</v>
      </c>
      <c r="E788" s="8" t="s">
        <v>1020</v>
      </c>
      <c r="F788" s="8" t="s">
        <v>1021</v>
      </c>
      <c r="G788" s="8" t="s">
        <v>986</v>
      </c>
      <c r="H788" s="8" t="s">
        <v>1016</v>
      </c>
      <c r="I788" s="8" t="s">
        <v>34</v>
      </c>
      <c r="J788" s="8" t="s">
        <v>1022</v>
      </c>
      <c r="K788" s="8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4.25" customHeight="1">
      <c r="A789" s="26"/>
      <c r="B789" s="2"/>
      <c r="C789" s="2"/>
      <c r="D789" s="2"/>
      <c r="E789" s="2"/>
      <c r="F789" s="5"/>
      <c r="G789" s="15" t="s">
        <v>1023</v>
      </c>
      <c r="H789" s="2"/>
      <c r="I789" s="8"/>
      <c r="J789" s="8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4.25" customHeight="1">
      <c r="A790" s="2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4.25" customHeight="1">
      <c r="A791" s="36" t="s">
        <v>1024</v>
      </c>
      <c r="B791" s="37">
        <v>44509.0</v>
      </c>
      <c r="C791" s="66" t="s">
        <v>1025</v>
      </c>
      <c r="D791" s="8" t="s">
        <v>406</v>
      </c>
      <c r="E791" s="8" t="s">
        <v>1026</v>
      </c>
      <c r="F791" s="8" t="s">
        <v>58</v>
      </c>
      <c r="G791" s="8" t="s">
        <v>382</v>
      </c>
      <c r="H791" s="8" t="s">
        <v>1016</v>
      </c>
      <c r="I791" s="8" t="s">
        <v>34</v>
      </c>
      <c r="J791" s="8" t="s">
        <v>1027</v>
      </c>
      <c r="K791" s="8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4.25" customHeight="1">
      <c r="A792" s="26"/>
      <c r="B792" s="2"/>
      <c r="C792" s="2"/>
      <c r="D792" s="2"/>
      <c r="E792" s="2"/>
      <c r="F792" s="8"/>
      <c r="G792" s="8" t="s">
        <v>818</v>
      </c>
      <c r="H792" s="2"/>
      <c r="I792" s="8"/>
      <c r="J792" s="8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4.25" customHeight="1">
      <c r="A793" s="2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4.25" customHeight="1">
      <c r="A794" s="36" t="s">
        <v>1028</v>
      </c>
      <c r="B794" s="37">
        <v>44509.0</v>
      </c>
      <c r="C794" s="3" t="s">
        <v>1029</v>
      </c>
      <c r="D794" s="8" t="s">
        <v>406</v>
      </c>
      <c r="E794" s="8" t="s">
        <v>1030</v>
      </c>
      <c r="F794" s="8" t="s">
        <v>58</v>
      </c>
      <c r="G794" s="8" t="s">
        <v>382</v>
      </c>
      <c r="H794" s="8" t="s">
        <v>1016</v>
      </c>
      <c r="I794" s="8" t="s">
        <v>34</v>
      </c>
      <c r="J794" s="8" t="s">
        <v>1027</v>
      </c>
      <c r="K794" s="8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4.25" customHeight="1">
      <c r="A795" s="26"/>
      <c r="B795" s="2"/>
      <c r="C795" s="2"/>
      <c r="D795" s="2"/>
      <c r="E795" s="2"/>
      <c r="F795" s="8"/>
      <c r="G795" s="8" t="s">
        <v>1031</v>
      </c>
      <c r="H795" s="2"/>
      <c r="I795" s="8"/>
      <c r="J795" s="8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4.25" customHeight="1">
      <c r="A796" s="2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4.25" customHeight="1">
      <c r="A797" s="36" t="s">
        <v>1032</v>
      </c>
      <c r="B797" s="37">
        <v>44509.0</v>
      </c>
      <c r="C797" s="3" t="s">
        <v>280</v>
      </c>
      <c r="D797" s="8" t="s">
        <v>406</v>
      </c>
      <c r="E797" s="8" t="s">
        <v>1033</v>
      </c>
      <c r="F797" s="8" t="s">
        <v>58</v>
      </c>
      <c r="G797" s="8" t="s">
        <v>382</v>
      </c>
      <c r="H797" s="8" t="s">
        <v>1016</v>
      </c>
      <c r="I797" s="8" t="s">
        <v>34</v>
      </c>
      <c r="J797" s="8" t="s">
        <v>1027</v>
      </c>
      <c r="K797" s="8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4.25" customHeight="1">
      <c r="A798" s="26"/>
      <c r="B798" s="2"/>
      <c r="C798" s="2"/>
      <c r="D798" s="2"/>
      <c r="E798" s="2"/>
      <c r="F798" s="8"/>
      <c r="G798" s="8" t="s">
        <v>825</v>
      </c>
      <c r="H798" s="2"/>
      <c r="I798" s="8"/>
      <c r="J798" s="8" t="s">
        <v>1034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4.25" customHeight="1">
      <c r="A799" s="2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4.25" customHeight="1">
      <c r="A800" s="36" t="s">
        <v>1035</v>
      </c>
      <c r="B800" s="37">
        <v>44509.0</v>
      </c>
      <c r="C800" s="3" t="s">
        <v>1036</v>
      </c>
      <c r="D800" s="8" t="s">
        <v>406</v>
      </c>
      <c r="E800" s="8" t="s">
        <v>1037</v>
      </c>
      <c r="F800" s="8" t="s">
        <v>58</v>
      </c>
      <c r="G800" s="8" t="s">
        <v>382</v>
      </c>
      <c r="H800" s="8" t="s">
        <v>1016</v>
      </c>
      <c r="I800" s="8" t="s">
        <v>34</v>
      </c>
      <c r="J800" s="8" t="s">
        <v>1027</v>
      </c>
      <c r="K800" s="8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4.25" customHeight="1">
      <c r="A801" s="26"/>
      <c r="B801" s="2"/>
      <c r="C801" s="2"/>
      <c r="D801" s="2"/>
      <c r="E801" s="2"/>
      <c r="F801" s="8"/>
      <c r="G801" s="8" t="s">
        <v>1031</v>
      </c>
      <c r="H801" s="2"/>
      <c r="I801" s="8"/>
      <c r="J801" s="8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4.25" customHeight="1">
      <c r="A802" s="2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4.25" customHeight="1">
      <c r="A803" s="36" t="s">
        <v>1038</v>
      </c>
      <c r="B803" s="37">
        <v>44509.0</v>
      </c>
      <c r="C803" s="3" t="s">
        <v>510</v>
      </c>
      <c r="D803" s="8" t="s">
        <v>406</v>
      </c>
      <c r="E803" s="8"/>
      <c r="F803" s="8" t="s">
        <v>1039</v>
      </c>
      <c r="G803" s="8" t="s">
        <v>382</v>
      </c>
      <c r="H803" s="8" t="s">
        <v>1040</v>
      </c>
      <c r="I803" s="8" t="s">
        <v>34</v>
      </c>
      <c r="J803" s="8" t="s">
        <v>1009</v>
      </c>
      <c r="K803" s="8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4.25" customHeight="1">
      <c r="A804" s="26"/>
      <c r="B804" s="2"/>
      <c r="C804" s="2"/>
      <c r="D804" s="2"/>
      <c r="E804" s="2"/>
      <c r="F804" s="8"/>
      <c r="G804" s="8" t="s">
        <v>1041</v>
      </c>
      <c r="H804" s="2"/>
      <c r="I804" s="8"/>
      <c r="J804" s="8" t="s">
        <v>967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4.25" customHeight="1">
      <c r="A805" s="2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4.25" customHeight="1">
      <c r="A806" s="36" t="s">
        <v>1042</v>
      </c>
      <c r="B806" s="37">
        <v>44515.0</v>
      </c>
      <c r="C806" s="3" t="s">
        <v>1043</v>
      </c>
      <c r="D806" s="8" t="s">
        <v>842</v>
      </c>
      <c r="E806" s="8" t="s">
        <v>1044</v>
      </c>
      <c r="F806" s="8" t="s">
        <v>58</v>
      </c>
      <c r="G806" s="8" t="s">
        <v>382</v>
      </c>
      <c r="H806" s="8" t="s">
        <v>1045</v>
      </c>
      <c r="I806" s="8" t="s">
        <v>225</v>
      </c>
      <c r="J806" s="8" t="s">
        <v>1046</v>
      </c>
      <c r="K806" s="8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4.25" customHeight="1">
      <c r="A807" s="26"/>
      <c r="B807" s="2"/>
      <c r="C807" s="2"/>
      <c r="D807" s="2"/>
      <c r="E807" s="2"/>
      <c r="F807" s="8"/>
      <c r="G807" s="8" t="s">
        <v>1047</v>
      </c>
      <c r="H807" s="2"/>
      <c r="I807" s="8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4.25" customHeight="1">
      <c r="A808" s="2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4.25" customHeight="1">
      <c r="A809" s="36" t="s">
        <v>1048</v>
      </c>
      <c r="B809" s="37">
        <v>44517.0</v>
      </c>
      <c r="C809" s="3" t="s">
        <v>1049</v>
      </c>
      <c r="D809" s="8" t="s">
        <v>842</v>
      </c>
      <c r="E809" s="8" t="s">
        <v>1050</v>
      </c>
      <c r="F809" s="8" t="s">
        <v>58</v>
      </c>
      <c r="G809" s="8" t="s">
        <v>397</v>
      </c>
      <c r="H809" s="8" t="s">
        <v>1045</v>
      </c>
      <c r="I809" s="8" t="s">
        <v>225</v>
      </c>
      <c r="J809" s="8" t="s">
        <v>1051</v>
      </c>
      <c r="K809" s="8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4.25" customHeight="1">
      <c r="A810" s="26"/>
      <c r="B810" s="2"/>
      <c r="C810" s="2"/>
      <c r="D810" s="2"/>
      <c r="E810" s="2"/>
      <c r="F810" s="2"/>
      <c r="G810" s="8" t="s">
        <v>1052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4.25" customHeight="1">
      <c r="A811" s="2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4.25" customHeight="1">
      <c r="A812" s="36" t="s">
        <v>1053</v>
      </c>
      <c r="B812" s="37">
        <v>44517.0</v>
      </c>
      <c r="C812" s="3" t="s">
        <v>1049</v>
      </c>
      <c r="D812" s="8" t="s">
        <v>842</v>
      </c>
      <c r="E812" s="8" t="s">
        <v>1054</v>
      </c>
      <c r="F812" s="8" t="s">
        <v>58</v>
      </c>
      <c r="G812" s="8" t="s">
        <v>397</v>
      </c>
      <c r="H812" s="8" t="s">
        <v>1045</v>
      </c>
      <c r="I812" s="8" t="s">
        <v>225</v>
      </c>
      <c r="J812" s="8" t="s">
        <v>1051</v>
      </c>
      <c r="K812" s="8" t="s">
        <v>1017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4.25" customHeight="1">
      <c r="A813" s="26"/>
      <c r="B813" s="2"/>
      <c r="C813" s="2"/>
      <c r="D813" s="2"/>
      <c r="E813" s="2"/>
      <c r="F813" s="2"/>
      <c r="G813" s="8" t="s">
        <v>1052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4.25" customHeight="1">
      <c r="A814" s="2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4.25" customHeight="1">
      <c r="A815" s="36" t="s">
        <v>1055</v>
      </c>
      <c r="B815" s="37">
        <v>44518.0</v>
      </c>
      <c r="C815" s="3" t="s">
        <v>1056</v>
      </c>
      <c r="D815" s="8" t="s">
        <v>842</v>
      </c>
      <c r="E815" s="8" t="s">
        <v>1057</v>
      </c>
      <c r="F815" s="8" t="s">
        <v>58</v>
      </c>
      <c r="G815" s="8" t="s">
        <v>397</v>
      </c>
      <c r="H815" s="8" t="s">
        <v>1058</v>
      </c>
      <c r="I815" s="8" t="s">
        <v>225</v>
      </c>
      <c r="J815" s="8" t="s">
        <v>967</v>
      </c>
      <c r="K815" s="8" t="s">
        <v>1017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4.25" customHeight="1">
      <c r="A816" s="26"/>
      <c r="B816" s="2"/>
      <c r="C816" s="2"/>
      <c r="D816" s="2"/>
      <c r="E816" s="2"/>
      <c r="F816" s="2"/>
      <c r="G816" s="8" t="s">
        <v>1052</v>
      </c>
      <c r="H816" s="67" t="s">
        <v>1059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4.25" customHeight="1">
      <c r="A817" s="2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4.25" customHeight="1">
      <c r="A818" s="44" t="s">
        <v>1060</v>
      </c>
      <c r="B818" s="37">
        <v>44505.0</v>
      </c>
      <c r="C818" s="3" t="s">
        <v>1019</v>
      </c>
      <c r="D818" s="8" t="s">
        <v>954</v>
      </c>
      <c r="E818" s="8" t="s">
        <v>1020</v>
      </c>
      <c r="F818" s="8" t="s">
        <v>1021</v>
      </c>
      <c r="G818" s="8" t="s">
        <v>986</v>
      </c>
      <c r="H818" s="8" t="s">
        <v>1016</v>
      </c>
      <c r="I818" s="8" t="s">
        <v>34</v>
      </c>
      <c r="J818" s="8" t="s">
        <v>1061</v>
      </c>
      <c r="K818" s="8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4.25" customHeight="1">
      <c r="A819" s="26"/>
      <c r="B819" s="2"/>
      <c r="C819" s="2"/>
      <c r="D819" s="2"/>
      <c r="E819" s="2"/>
      <c r="F819" s="5"/>
      <c r="G819" s="15" t="s">
        <v>1023</v>
      </c>
      <c r="H819" s="2"/>
      <c r="I819" s="8"/>
      <c r="J819" s="8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4.25" customHeight="1">
      <c r="A820" s="2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4.25" customHeight="1">
      <c r="A821" s="36" t="s">
        <v>1062</v>
      </c>
      <c r="B821" s="37">
        <v>44526.0</v>
      </c>
      <c r="C821" s="3" t="s">
        <v>1063</v>
      </c>
      <c r="D821" s="8" t="s">
        <v>772</v>
      </c>
      <c r="E821" s="8" t="s">
        <v>515</v>
      </c>
      <c r="F821" s="8" t="s">
        <v>1064</v>
      </c>
      <c r="G821" s="8" t="s">
        <v>397</v>
      </c>
      <c r="H821" s="8" t="s">
        <v>1065</v>
      </c>
      <c r="I821" s="8" t="s">
        <v>668</v>
      </c>
      <c r="J821" s="8" t="s">
        <v>1066</v>
      </c>
      <c r="K821" s="8" t="s">
        <v>1067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4.25" customHeight="1">
      <c r="A822" s="26"/>
      <c r="B822" s="2"/>
      <c r="C822" s="2"/>
      <c r="D822" s="2"/>
      <c r="E822" s="2"/>
      <c r="F822" s="2"/>
      <c r="G822" s="8" t="s">
        <v>1052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4.25" customHeight="1">
      <c r="A823" s="2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4.25" customHeight="1">
      <c r="A824" s="36" t="s">
        <v>1068</v>
      </c>
      <c r="B824" s="25">
        <v>44531.0</v>
      </c>
      <c r="C824" s="3" t="s">
        <v>884</v>
      </c>
      <c r="D824" s="8" t="s">
        <v>1069</v>
      </c>
      <c r="E824" s="8"/>
      <c r="F824" s="8" t="s">
        <v>1070</v>
      </c>
      <c r="G824" s="8" t="s">
        <v>397</v>
      </c>
      <c r="H824" s="8" t="s">
        <v>1071</v>
      </c>
      <c r="I824" s="8" t="s">
        <v>668</v>
      </c>
      <c r="J824" s="8"/>
      <c r="K824" s="8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4.25" customHeight="1">
      <c r="A825" s="26"/>
      <c r="B825" s="2"/>
      <c r="C825" s="2"/>
      <c r="D825" s="2"/>
      <c r="E825" s="2"/>
      <c r="F825" s="2"/>
      <c r="G825" s="8" t="s">
        <v>1072</v>
      </c>
      <c r="H825" s="8" t="s">
        <v>1073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4.25" customHeight="1">
      <c r="A826" s="2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4.25" customHeight="1">
      <c r="A827" s="36" t="s">
        <v>1074</v>
      </c>
      <c r="B827" s="25">
        <v>44531.0</v>
      </c>
      <c r="C827" s="3" t="s">
        <v>1075</v>
      </c>
      <c r="D827" s="8" t="s">
        <v>706</v>
      </c>
      <c r="E827" s="8"/>
      <c r="F827" s="8" t="s">
        <v>867</v>
      </c>
      <c r="G827" s="8" t="s">
        <v>397</v>
      </c>
      <c r="H827" s="8" t="s">
        <v>1076</v>
      </c>
      <c r="I827" s="8" t="s">
        <v>668</v>
      </c>
      <c r="J827" s="8"/>
      <c r="K827" s="8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4.25" customHeight="1">
      <c r="A828" s="26"/>
      <c r="B828" s="2"/>
      <c r="C828" s="2"/>
      <c r="D828" s="2"/>
      <c r="E828" s="2"/>
      <c r="F828" s="2"/>
      <c r="G828" s="8" t="s">
        <v>1077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4.25" customHeight="1">
      <c r="A829" s="2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4.25" customHeight="1">
      <c r="A830" s="36" t="s">
        <v>1078</v>
      </c>
      <c r="B830" s="25">
        <v>44531.0</v>
      </c>
      <c r="C830" s="3" t="s">
        <v>1079</v>
      </c>
      <c r="D830" s="8" t="s">
        <v>842</v>
      </c>
      <c r="E830" s="8" t="s">
        <v>1080</v>
      </c>
      <c r="F830" s="8" t="s">
        <v>58</v>
      </c>
      <c r="G830" s="8" t="s">
        <v>397</v>
      </c>
      <c r="H830" s="8" t="s">
        <v>1076</v>
      </c>
      <c r="I830" s="8" t="s">
        <v>668</v>
      </c>
      <c r="J830" s="8"/>
      <c r="K830" s="8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4.25" customHeight="1">
      <c r="A831" s="26"/>
      <c r="B831" s="2"/>
      <c r="C831" s="2"/>
      <c r="D831" s="2"/>
      <c r="E831" s="2"/>
      <c r="F831" s="2"/>
      <c r="G831" s="8" t="s">
        <v>1077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4.25" customHeight="1">
      <c r="A832" s="2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4.25" customHeight="1">
      <c r="A833" s="36" t="s">
        <v>1081</v>
      </c>
      <c r="B833" s="25">
        <v>44533.0</v>
      </c>
      <c r="C833" s="3" t="s">
        <v>698</v>
      </c>
      <c r="D833" s="8" t="s">
        <v>1082</v>
      </c>
      <c r="E833" s="8"/>
      <c r="F833" s="8" t="s">
        <v>58</v>
      </c>
      <c r="G833" s="8" t="s">
        <v>397</v>
      </c>
      <c r="H833" s="8" t="s">
        <v>1083</v>
      </c>
      <c r="I833" s="8" t="s">
        <v>34</v>
      </c>
      <c r="J833" s="8" t="s">
        <v>1027</v>
      </c>
      <c r="K833" s="8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4.25" customHeight="1">
      <c r="A834" s="26"/>
      <c r="B834" s="2"/>
      <c r="C834" s="2"/>
      <c r="D834" s="2"/>
      <c r="E834" s="2"/>
      <c r="F834" s="2"/>
      <c r="G834" s="8" t="s">
        <v>825</v>
      </c>
      <c r="H834" s="8" t="s">
        <v>1073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4.25" customHeight="1">
      <c r="A835" s="2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4.25" customHeight="1">
      <c r="A836" s="36" t="s">
        <v>1084</v>
      </c>
      <c r="B836" s="25">
        <v>44533.0</v>
      </c>
      <c r="C836" s="3" t="s">
        <v>1085</v>
      </c>
      <c r="D836" s="8" t="s">
        <v>1082</v>
      </c>
      <c r="E836" s="8"/>
      <c r="F836" s="8" t="s">
        <v>58</v>
      </c>
      <c r="G836" s="8" t="s">
        <v>397</v>
      </c>
      <c r="H836" s="8" t="s">
        <v>1083</v>
      </c>
      <c r="I836" s="8" t="s">
        <v>34</v>
      </c>
      <c r="J836" s="8" t="s">
        <v>1027</v>
      </c>
      <c r="K836" s="8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4.25" customHeight="1">
      <c r="A837" s="26"/>
      <c r="B837" s="2"/>
      <c r="C837" s="2"/>
      <c r="D837" s="2"/>
      <c r="E837" s="2"/>
      <c r="F837" s="2"/>
      <c r="G837" s="8" t="s">
        <v>1077</v>
      </c>
      <c r="H837" s="8" t="s">
        <v>1073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4.25" customHeight="1">
      <c r="A838" s="2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4.25" customHeight="1">
      <c r="A839" s="36" t="s">
        <v>1086</v>
      </c>
      <c r="B839" s="25">
        <v>44533.0</v>
      </c>
      <c r="C839" s="3" t="s">
        <v>1087</v>
      </c>
      <c r="D839" s="8" t="s">
        <v>1082</v>
      </c>
      <c r="E839" s="8"/>
      <c r="F839" s="8" t="s">
        <v>58</v>
      </c>
      <c r="G839" s="8" t="s">
        <v>397</v>
      </c>
      <c r="H839" s="8" t="s">
        <v>1083</v>
      </c>
      <c r="I839" s="8" t="s">
        <v>34</v>
      </c>
      <c r="J839" s="8" t="s">
        <v>1027</v>
      </c>
      <c r="K839" s="8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4.25" customHeight="1">
      <c r="A840" s="26"/>
      <c r="B840" s="2"/>
      <c r="C840" s="2"/>
      <c r="D840" s="2"/>
      <c r="E840" s="2"/>
      <c r="F840" s="2"/>
      <c r="G840" s="8" t="s">
        <v>901</v>
      </c>
      <c r="H840" s="8" t="s">
        <v>1073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4.25" customHeight="1">
      <c r="A841" s="2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4.25" customHeight="1">
      <c r="A842" s="36" t="s">
        <v>1088</v>
      </c>
      <c r="B842" s="25">
        <v>44544.0</v>
      </c>
      <c r="C842" s="3" t="s">
        <v>1089</v>
      </c>
      <c r="D842" s="8" t="s">
        <v>842</v>
      </c>
      <c r="E842" s="64" t="s">
        <v>1090</v>
      </c>
      <c r="F842" s="8" t="s">
        <v>1091</v>
      </c>
      <c r="G842" s="8" t="s">
        <v>397</v>
      </c>
      <c r="H842" s="8" t="s">
        <v>468</v>
      </c>
      <c r="I842" s="8" t="s">
        <v>225</v>
      </c>
      <c r="J842" s="68" t="s">
        <v>1092</v>
      </c>
      <c r="K842" s="8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4.25" customHeight="1">
      <c r="A843" s="26"/>
      <c r="B843" s="2"/>
      <c r="C843" s="2"/>
      <c r="D843" s="2"/>
      <c r="E843" s="2"/>
      <c r="F843" s="2"/>
      <c r="G843" s="8" t="s">
        <v>1052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4.25" customHeight="1">
      <c r="A844" s="2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4.25" customHeight="1">
      <c r="A845" s="36" t="s">
        <v>1093</v>
      </c>
      <c r="B845" s="37">
        <v>44540.0</v>
      </c>
      <c r="C845" s="3" t="s">
        <v>1094</v>
      </c>
      <c r="D845" s="8" t="s">
        <v>842</v>
      </c>
      <c r="E845" s="8" t="s">
        <v>1095</v>
      </c>
      <c r="F845" s="8" t="s">
        <v>822</v>
      </c>
      <c r="G845" s="8" t="s">
        <v>397</v>
      </c>
      <c r="H845" s="8" t="s">
        <v>1096</v>
      </c>
      <c r="I845" s="8" t="s">
        <v>668</v>
      </c>
      <c r="J845" s="8"/>
      <c r="K845" s="8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4.25" customHeight="1">
      <c r="A846" s="26"/>
      <c r="B846" s="2"/>
      <c r="C846" s="2"/>
      <c r="D846" s="2"/>
      <c r="E846" s="2"/>
      <c r="F846" s="2"/>
      <c r="G846" s="8" t="s">
        <v>825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4.25" customHeight="1">
      <c r="A847" s="2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4.25" customHeight="1">
      <c r="A848" s="36" t="s">
        <v>1097</v>
      </c>
      <c r="B848" s="37">
        <v>44540.0</v>
      </c>
      <c r="C848" s="3" t="s">
        <v>1094</v>
      </c>
      <c r="D848" s="8" t="s">
        <v>842</v>
      </c>
      <c r="E848" s="69" t="s">
        <v>1098</v>
      </c>
      <c r="F848" s="8" t="s">
        <v>822</v>
      </c>
      <c r="G848" s="8" t="s">
        <v>397</v>
      </c>
      <c r="H848" s="8" t="s">
        <v>1099</v>
      </c>
      <c r="I848" s="8" t="s">
        <v>668</v>
      </c>
      <c r="J848" s="8"/>
      <c r="K848" s="8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4.25" customHeight="1">
      <c r="A849" s="26"/>
      <c r="B849" s="2"/>
      <c r="C849" s="2"/>
      <c r="D849" s="2"/>
      <c r="E849" s="2"/>
      <c r="F849" s="2"/>
      <c r="G849" s="8" t="s">
        <v>825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4.25" customHeight="1">
      <c r="A850" s="2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4.25" customHeight="1">
      <c r="A851" s="36" t="s">
        <v>1100</v>
      </c>
      <c r="B851" s="37">
        <v>44540.0</v>
      </c>
      <c r="C851" s="3" t="s">
        <v>1101</v>
      </c>
      <c r="D851" s="8" t="s">
        <v>842</v>
      </c>
      <c r="E851" s="8" t="s">
        <v>1102</v>
      </c>
      <c r="F851" s="8" t="s">
        <v>1103</v>
      </c>
      <c r="G851" s="8" t="s">
        <v>397</v>
      </c>
      <c r="H851" s="8" t="s">
        <v>468</v>
      </c>
      <c r="I851" s="8" t="s">
        <v>668</v>
      </c>
      <c r="J851" s="8"/>
      <c r="K851" s="8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4.25" customHeight="1">
      <c r="A852" s="26"/>
      <c r="B852" s="2"/>
      <c r="C852" s="2"/>
      <c r="D852" s="2"/>
      <c r="E852" s="2"/>
      <c r="F852" s="2"/>
      <c r="G852" s="8" t="s">
        <v>1077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4.25" customHeight="1">
      <c r="A853" s="2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4.25" customHeight="1">
      <c r="A854" s="36" t="s">
        <v>1104</v>
      </c>
      <c r="B854" s="37">
        <v>44540.0</v>
      </c>
      <c r="C854" s="3" t="s">
        <v>1105</v>
      </c>
      <c r="D854" s="8" t="s">
        <v>706</v>
      </c>
      <c r="E854" s="8">
        <v>2.7920372E7</v>
      </c>
      <c r="F854" s="8" t="s">
        <v>1106</v>
      </c>
      <c r="G854" s="8" t="s">
        <v>397</v>
      </c>
      <c r="H854" s="8" t="s">
        <v>1107</v>
      </c>
      <c r="I854" s="8" t="s">
        <v>668</v>
      </c>
      <c r="J854" s="8"/>
      <c r="K854" s="8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4.25" customHeight="1">
      <c r="A855" s="26"/>
      <c r="B855" s="2"/>
      <c r="C855" s="8"/>
      <c r="D855" s="2"/>
      <c r="E855" s="2"/>
      <c r="F855" s="2"/>
      <c r="G855" s="8" t="s">
        <v>1072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4.25" customHeight="1">
      <c r="A856" s="22"/>
      <c r="B856" s="4"/>
      <c r="C856" s="5"/>
      <c r="D856" s="4"/>
      <c r="E856" s="4"/>
      <c r="F856" s="4"/>
      <c r="G856" s="4"/>
      <c r="H856" s="4"/>
      <c r="I856" s="4"/>
      <c r="J856" s="4"/>
      <c r="K856" s="4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4.25" customHeight="1">
      <c r="A857" s="36" t="s">
        <v>1108</v>
      </c>
      <c r="B857" s="37">
        <v>44540.0</v>
      </c>
      <c r="C857" s="42" t="s">
        <v>1109</v>
      </c>
      <c r="D857" s="8" t="s">
        <v>706</v>
      </c>
      <c r="E857" s="8">
        <v>2.7917629E7</v>
      </c>
      <c r="F857" s="8" t="s">
        <v>1106</v>
      </c>
      <c r="G857" s="8" t="s">
        <v>397</v>
      </c>
      <c r="H857" s="8" t="s">
        <v>1110</v>
      </c>
      <c r="I857" s="8" t="s">
        <v>668</v>
      </c>
      <c r="J857" s="8"/>
      <c r="K857" s="8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4.25" customHeight="1">
      <c r="A858" s="26"/>
      <c r="B858" s="2"/>
      <c r="C858" s="8"/>
      <c r="D858" s="2"/>
      <c r="E858" s="2"/>
      <c r="F858" s="2"/>
      <c r="G858" s="8" t="s">
        <v>1072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4.25" customHeight="1">
      <c r="A859" s="22"/>
      <c r="B859" s="4"/>
      <c r="C859" s="5"/>
      <c r="D859" s="4"/>
      <c r="E859" s="4"/>
      <c r="F859" s="4"/>
      <c r="G859" s="4"/>
      <c r="H859" s="4"/>
      <c r="I859" s="4"/>
      <c r="J859" s="4"/>
      <c r="K859" s="4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4.25" customHeight="1">
      <c r="A860" s="36" t="s">
        <v>1111</v>
      </c>
      <c r="B860" s="37">
        <v>44540.0</v>
      </c>
      <c r="C860" s="42" t="s">
        <v>1112</v>
      </c>
      <c r="D860" s="8" t="s">
        <v>706</v>
      </c>
      <c r="E860" s="8">
        <v>2.7918191E7</v>
      </c>
      <c r="F860" s="8" t="s">
        <v>1106</v>
      </c>
      <c r="G860" s="8" t="s">
        <v>397</v>
      </c>
      <c r="H860" s="8" t="s">
        <v>1110</v>
      </c>
      <c r="I860" s="8" t="s">
        <v>668</v>
      </c>
      <c r="J860" s="8" t="s">
        <v>1113</v>
      </c>
      <c r="K860" s="8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4.25" customHeight="1">
      <c r="A861" s="26"/>
      <c r="B861" s="2"/>
      <c r="C861" s="2"/>
      <c r="D861" s="2"/>
      <c r="E861" s="2"/>
      <c r="F861" s="2"/>
      <c r="G861" s="8" t="s">
        <v>1072</v>
      </c>
      <c r="H861" s="8" t="s">
        <v>1107</v>
      </c>
      <c r="I861" s="2"/>
      <c r="J861" s="8" t="s">
        <v>1114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4.25" customHeight="1">
      <c r="A862" s="2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4.25" customHeight="1">
      <c r="A863" s="36" t="s">
        <v>1115</v>
      </c>
      <c r="B863" s="37">
        <v>44544.0</v>
      </c>
      <c r="C863" s="3" t="s">
        <v>1116</v>
      </c>
      <c r="D863" s="8" t="s">
        <v>842</v>
      </c>
      <c r="E863" s="70" t="s">
        <v>1117</v>
      </c>
      <c r="F863" s="8" t="s">
        <v>1091</v>
      </c>
      <c r="G863" s="8" t="s">
        <v>397</v>
      </c>
      <c r="H863" s="8" t="s">
        <v>1118</v>
      </c>
      <c r="I863" s="8" t="s">
        <v>225</v>
      </c>
      <c r="J863" s="8" t="s">
        <v>978</v>
      </c>
      <c r="K863" s="8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4.25" customHeight="1">
      <c r="A864" s="26"/>
      <c r="B864" s="2"/>
      <c r="C864" s="2"/>
      <c r="D864" s="2"/>
      <c r="E864" s="2"/>
      <c r="F864" s="2"/>
      <c r="G864" s="8" t="s">
        <v>1052</v>
      </c>
      <c r="H864" s="8" t="s">
        <v>1119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4.25" customHeight="1">
      <c r="A865" s="2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4.25" customHeight="1">
      <c r="A866" s="36" t="s">
        <v>1120</v>
      </c>
      <c r="B866" s="37">
        <v>44546.0</v>
      </c>
      <c r="C866" s="3" t="s">
        <v>1121</v>
      </c>
      <c r="D866" s="8" t="s">
        <v>842</v>
      </c>
      <c r="E866" s="69" t="s">
        <v>1122</v>
      </c>
      <c r="F866" s="8" t="s">
        <v>58</v>
      </c>
      <c r="G866" s="8" t="s">
        <v>397</v>
      </c>
      <c r="H866" s="8"/>
      <c r="I866" s="8" t="s">
        <v>225</v>
      </c>
      <c r="J866" s="8"/>
      <c r="K866" s="8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4.25" customHeight="1">
      <c r="A867" s="26"/>
      <c r="B867" s="2"/>
      <c r="C867" s="2"/>
      <c r="D867" s="8"/>
      <c r="E867" s="2"/>
      <c r="F867" s="2"/>
      <c r="G867" s="8" t="s">
        <v>1052</v>
      </c>
      <c r="H867" s="8" t="s">
        <v>1123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4.25" customHeight="1">
      <c r="A868" s="22"/>
      <c r="B868" s="4"/>
      <c r="C868" s="4"/>
      <c r="D868" s="5"/>
      <c r="E868" s="4"/>
      <c r="F868" s="4"/>
      <c r="G868" s="4"/>
      <c r="H868" s="4"/>
      <c r="I868" s="4"/>
      <c r="J868" s="4"/>
      <c r="K868" s="4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4.25" customHeight="1">
      <c r="A869" s="36" t="s">
        <v>1124</v>
      </c>
      <c r="B869" s="37">
        <v>44546.0</v>
      </c>
      <c r="C869" s="3" t="s">
        <v>1125</v>
      </c>
      <c r="D869" s="8" t="s">
        <v>842</v>
      </c>
      <c r="E869" s="69" t="s">
        <v>1126</v>
      </c>
      <c r="F869" s="8" t="s">
        <v>58</v>
      </c>
      <c r="G869" s="8" t="s">
        <v>397</v>
      </c>
      <c r="H869" s="8" t="s">
        <v>1123</v>
      </c>
      <c r="I869" s="8" t="s">
        <v>225</v>
      </c>
      <c r="J869" s="8"/>
      <c r="K869" s="8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4.25" customHeight="1">
      <c r="A870" s="26"/>
      <c r="B870" s="2"/>
      <c r="C870" s="2"/>
      <c r="D870" s="2"/>
      <c r="E870" s="2"/>
      <c r="F870" s="2"/>
      <c r="G870" s="8" t="s">
        <v>825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4.25" customHeight="1">
      <c r="A871" s="2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4.25" customHeight="1">
      <c r="A872" s="36" t="s">
        <v>1127</v>
      </c>
      <c r="B872" s="37">
        <v>44546.0</v>
      </c>
      <c r="C872" s="3" t="s">
        <v>1128</v>
      </c>
      <c r="D872" s="8" t="s">
        <v>706</v>
      </c>
      <c r="E872" s="69" t="s">
        <v>1129</v>
      </c>
      <c r="F872" s="8" t="s">
        <v>1130</v>
      </c>
      <c r="G872" s="8" t="s">
        <v>397</v>
      </c>
      <c r="H872" s="8" t="s">
        <v>1123</v>
      </c>
      <c r="I872" s="8" t="s">
        <v>225</v>
      </c>
      <c r="J872" s="8"/>
      <c r="K872" s="8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4.25" customHeight="1">
      <c r="A873" s="26"/>
      <c r="B873" s="2"/>
      <c r="C873" s="2"/>
      <c r="D873" s="2"/>
      <c r="E873" s="2"/>
      <c r="F873" s="2"/>
      <c r="G873" s="8" t="s">
        <v>1072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4.25" customHeight="1">
      <c r="A874" s="2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4.25" customHeight="1">
      <c r="A875" s="36" t="s">
        <v>1131</v>
      </c>
      <c r="B875" s="37">
        <v>44547.0</v>
      </c>
      <c r="C875" s="3" t="s">
        <v>1089</v>
      </c>
      <c r="D875" s="8" t="s">
        <v>842</v>
      </c>
      <c r="E875" s="8"/>
      <c r="F875" s="8" t="s">
        <v>1132</v>
      </c>
      <c r="G875" s="8" t="s">
        <v>1133</v>
      </c>
      <c r="H875" s="8" t="s">
        <v>1134</v>
      </c>
      <c r="I875" s="8" t="s">
        <v>225</v>
      </c>
      <c r="J875" s="8" t="s">
        <v>1135</v>
      </c>
      <c r="K875" s="8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4.25" customHeight="1">
      <c r="A876" s="26"/>
      <c r="B876" s="2"/>
      <c r="C876" s="2"/>
      <c r="D876" s="2"/>
      <c r="E876" s="2"/>
      <c r="F876" s="2"/>
      <c r="G876" s="8"/>
      <c r="H876" s="8" t="s">
        <v>1136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4.25" customHeight="1">
      <c r="A877" s="26"/>
      <c r="B877" s="2"/>
      <c r="C877" s="2"/>
      <c r="D877" s="2"/>
      <c r="E877" s="2"/>
      <c r="F877" s="2"/>
      <c r="G877" s="2"/>
      <c r="H877" s="8" t="s">
        <v>1137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4.25" customHeight="1">
      <c r="A878" s="22"/>
      <c r="B878" s="71"/>
      <c r="C878" s="5"/>
      <c r="D878" s="5"/>
      <c r="E878" s="5"/>
      <c r="F878" s="5"/>
      <c r="G878" s="5"/>
      <c r="H878" s="5" t="s">
        <v>1138</v>
      </c>
      <c r="I878" s="5" t="s">
        <v>1139</v>
      </c>
      <c r="J878" s="72" t="s">
        <v>1140</v>
      </c>
      <c r="K878" s="5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4.25" customHeight="1">
      <c r="A879" s="36" t="s">
        <v>1141</v>
      </c>
      <c r="B879" s="37">
        <v>44553.0</v>
      </c>
      <c r="C879" s="73" t="s">
        <v>1142</v>
      </c>
      <c r="D879" s="2" t="s">
        <v>842</v>
      </c>
      <c r="E879" s="74" t="s">
        <v>385</v>
      </c>
      <c r="F879" s="2" t="s">
        <v>822</v>
      </c>
      <c r="G879" s="8" t="s">
        <v>1143</v>
      </c>
      <c r="H879" s="8" t="s">
        <v>1144</v>
      </c>
      <c r="I879" s="2" t="s">
        <v>225</v>
      </c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4.25" customHeight="1">
      <c r="A880" s="26"/>
      <c r="B880" s="2"/>
      <c r="C880" s="2"/>
      <c r="D880" s="2"/>
      <c r="E880" s="2"/>
      <c r="F880" s="2"/>
      <c r="G880" s="2"/>
      <c r="H880" s="2" t="s">
        <v>1145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4.25" customHeight="1">
      <c r="A881" s="22"/>
      <c r="B881" s="71"/>
      <c r="C881" s="5"/>
      <c r="D881" s="5"/>
      <c r="E881" s="5"/>
      <c r="F881" s="5"/>
      <c r="G881" s="5"/>
      <c r="H881" s="5"/>
      <c r="I881" s="5"/>
      <c r="J881" s="5"/>
      <c r="K881" s="5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4.25" customHeight="1">
      <c r="A882" s="36" t="s">
        <v>1146</v>
      </c>
      <c r="B882" s="37">
        <v>44553.0</v>
      </c>
      <c r="C882" s="73" t="s">
        <v>1147</v>
      </c>
      <c r="D882" s="2" t="s">
        <v>842</v>
      </c>
      <c r="E882" s="75" t="s">
        <v>1148</v>
      </c>
      <c r="F882" s="2" t="s">
        <v>822</v>
      </c>
      <c r="G882" s="8" t="s">
        <v>1143</v>
      </c>
      <c r="H882" s="8" t="s">
        <v>1144</v>
      </c>
      <c r="I882" s="2" t="s">
        <v>225</v>
      </c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4.25" customHeight="1">
      <c r="A883" s="26"/>
      <c r="B883" s="2"/>
      <c r="C883" s="2"/>
      <c r="D883" s="2"/>
      <c r="E883" s="2"/>
      <c r="F883" s="2"/>
      <c r="G883" s="2"/>
      <c r="H883" s="2" t="s">
        <v>1145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4.25" customHeight="1">
      <c r="A884" s="22"/>
      <c r="B884" s="71"/>
      <c r="C884" s="5"/>
      <c r="D884" s="5"/>
      <c r="E884" s="5"/>
      <c r="F884" s="5"/>
      <c r="G884" s="5"/>
      <c r="H884" s="5"/>
      <c r="I884" s="5"/>
      <c r="J884" s="5"/>
      <c r="K884" s="5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4.25" customHeight="1">
      <c r="A885" s="36" t="s">
        <v>1149</v>
      </c>
      <c r="B885" s="37">
        <v>44554.0</v>
      </c>
      <c r="C885" s="73" t="s">
        <v>1150</v>
      </c>
      <c r="D885" s="2" t="s">
        <v>706</v>
      </c>
      <c r="E885" s="2" t="s">
        <v>1151</v>
      </c>
      <c r="F885" s="2" t="s">
        <v>1152</v>
      </c>
      <c r="G885" s="8" t="s">
        <v>1153</v>
      </c>
      <c r="H885" s="8" t="s">
        <v>1154</v>
      </c>
      <c r="I885" s="2" t="s">
        <v>225</v>
      </c>
      <c r="J885" s="8" t="s">
        <v>1155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4.25" customHeight="1">
      <c r="A886" s="26"/>
      <c r="B886" s="2"/>
      <c r="C886" s="2"/>
      <c r="D886" s="2"/>
      <c r="E886" s="2"/>
      <c r="F886" s="2"/>
      <c r="G886" s="4"/>
      <c r="H886" s="15" t="s">
        <v>1156</v>
      </c>
      <c r="I886" s="2"/>
      <c r="J886" s="2" t="s">
        <v>1027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4.25" customHeight="1">
      <c r="A887" s="22"/>
      <c r="B887" s="71"/>
      <c r="C887" s="5"/>
      <c r="D887" s="5"/>
      <c r="E887" s="5"/>
      <c r="F887" s="5"/>
      <c r="G887" s="5"/>
      <c r="H887" s="5" t="s">
        <v>1157</v>
      </c>
      <c r="I887" s="5"/>
      <c r="J887" s="5"/>
      <c r="K887" s="5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4.25" customHeight="1">
      <c r="A888" s="36" t="s">
        <v>1158</v>
      </c>
      <c r="B888" s="37">
        <v>44560.0</v>
      </c>
      <c r="C888" s="76" t="s">
        <v>514</v>
      </c>
      <c r="D888" s="2" t="s">
        <v>1159</v>
      </c>
      <c r="E888" s="75" t="s">
        <v>1160</v>
      </c>
      <c r="F888" s="2" t="s">
        <v>58</v>
      </c>
      <c r="G888" s="8" t="s">
        <v>1143</v>
      </c>
      <c r="H888" s="2"/>
      <c r="I888" s="2" t="s">
        <v>225</v>
      </c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4.25" customHeight="1">
      <c r="A889" s="2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4.25" customHeight="1">
      <c r="A890" s="22"/>
      <c r="B890" s="71"/>
      <c r="C890" s="5"/>
      <c r="D890" s="5"/>
      <c r="E890" s="5"/>
      <c r="F890" s="5"/>
      <c r="G890" s="5"/>
      <c r="H890" s="5"/>
      <c r="I890" s="5"/>
      <c r="J890" s="5"/>
      <c r="K890" s="5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4.25" customHeight="1">
      <c r="A891" s="36" t="s">
        <v>1161</v>
      </c>
      <c r="B891" s="37">
        <v>44560.0</v>
      </c>
      <c r="C891" s="73" t="s">
        <v>1162</v>
      </c>
      <c r="D891" s="2" t="s">
        <v>842</v>
      </c>
      <c r="E891" s="75" t="s">
        <v>1163</v>
      </c>
      <c r="F891" s="2" t="s">
        <v>881</v>
      </c>
      <c r="G891" s="8" t="s">
        <v>1143</v>
      </c>
      <c r="H891" s="2" t="s">
        <v>1118</v>
      </c>
      <c r="I891" s="2" t="s">
        <v>225</v>
      </c>
      <c r="J891" s="2" t="s">
        <v>1027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4.25" customHeight="1">
      <c r="A892" s="2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4.25" customHeight="1">
      <c r="A893" s="22"/>
      <c r="B893" s="71"/>
      <c r="C893" s="5"/>
      <c r="D893" s="5"/>
      <c r="E893" s="5"/>
      <c r="F893" s="5"/>
      <c r="G893" s="5"/>
      <c r="H893" s="5"/>
      <c r="I893" s="5"/>
      <c r="J893" s="5"/>
      <c r="K893" s="5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4.25" customHeight="1">
      <c r="A894" s="36" t="s">
        <v>1164</v>
      </c>
      <c r="B894" s="37">
        <v>44560.0</v>
      </c>
      <c r="C894" s="73" t="s">
        <v>1165</v>
      </c>
      <c r="D894" s="2" t="s">
        <v>842</v>
      </c>
      <c r="E894" s="75" t="s">
        <v>1166</v>
      </c>
      <c r="F894" s="2" t="s">
        <v>881</v>
      </c>
      <c r="G894" s="8" t="s">
        <v>1143</v>
      </c>
      <c r="H894" s="2"/>
      <c r="I894" s="2" t="s">
        <v>225</v>
      </c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4.25" customHeight="1">
      <c r="A895" s="2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4.25" customHeight="1">
      <c r="A896" s="22"/>
      <c r="B896" s="71"/>
      <c r="C896" s="5"/>
      <c r="D896" s="5"/>
      <c r="E896" s="5"/>
      <c r="F896" s="5"/>
      <c r="G896" s="5"/>
      <c r="H896" s="5"/>
      <c r="I896" s="5"/>
      <c r="J896" s="5"/>
      <c r="K896" s="5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4.25" customHeight="1">
      <c r="A897" s="36" t="s">
        <v>1167</v>
      </c>
      <c r="B897" s="37">
        <v>44571.0</v>
      </c>
      <c r="C897" s="73" t="s">
        <v>1168</v>
      </c>
      <c r="D897" s="2" t="s">
        <v>842</v>
      </c>
      <c r="E897" s="74" t="s">
        <v>1169</v>
      </c>
      <c r="F897" s="2" t="s">
        <v>881</v>
      </c>
      <c r="G897" s="8" t="s">
        <v>1143</v>
      </c>
      <c r="H897" s="2" t="s">
        <v>1170</v>
      </c>
      <c r="I897" s="2" t="s">
        <v>225</v>
      </c>
      <c r="J897" s="2" t="s">
        <v>1027</v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4.25" customHeight="1">
      <c r="A898" s="2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4.25" customHeight="1">
      <c r="A899" s="22"/>
      <c r="B899" s="71"/>
      <c r="C899" s="5"/>
      <c r="D899" s="5"/>
      <c r="E899" s="5"/>
      <c r="F899" s="5"/>
      <c r="G899" s="5"/>
      <c r="H899" s="5"/>
      <c r="I899" s="5"/>
      <c r="J899" s="5"/>
      <c r="K899" s="5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4.25" customHeight="1">
      <c r="A900" s="36" t="s">
        <v>1171</v>
      </c>
      <c r="B900" s="37">
        <v>44571.0</v>
      </c>
      <c r="C900" s="73" t="s">
        <v>1172</v>
      </c>
      <c r="D900" s="2" t="s">
        <v>842</v>
      </c>
      <c r="E900" s="75" t="s">
        <v>1173</v>
      </c>
      <c r="F900" s="2" t="s">
        <v>58</v>
      </c>
      <c r="G900" s="8" t="s">
        <v>1174</v>
      </c>
      <c r="H900" s="2" t="s">
        <v>1170</v>
      </c>
      <c r="I900" s="2" t="s">
        <v>225</v>
      </c>
      <c r="J900" s="2" t="s">
        <v>516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4.25" customHeight="1">
      <c r="A901" s="2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4.25" customHeight="1">
      <c r="A902" s="22"/>
      <c r="B902" s="71"/>
      <c r="C902" s="5"/>
      <c r="D902" s="5"/>
      <c r="E902" s="5"/>
      <c r="F902" s="5"/>
      <c r="G902" s="5"/>
      <c r="H902" s="5"/>
      <c r="I902" s="5"/>
      <c r="J902" s="5"/>
      <c r="K902" s="5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4.25" customHeight="1">
      <c r="A903" s="36" t="s">
        <v>1175</v>
      </c>
      <c r="B903" s="37">
        <v>44571.0</v>
      </c>
      <c r="C903" s="73" t="s">
        <v>1176</v>
      </c>
      <c r="D903" s="2" t="s">
        <v>842</v>
      </c>
      <c r="E903" s="74" t="s">
        <v>1177</v>
      </c>
      <c r="F903" s="2" t="s">
        <v>58</v>
      </c>
      <c r="G903" s="8" t="s">
        <v>1174</v>
      </c>
      <c r="H903" s="2" t="s">
        <v>1170</v>
      </c>
      <c r="I903" s="2" t="s">
        <v>225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4.25" customHeight="1">
      <c r="A904" s="2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4.25" customHeight="1">
      <c r="A905" s="22"/>
      <c r="B905" s="71"/>
      <c r="C905" s="5"/>
      <c r="D905" s="5"/>
      <c r="E905" s="5"/>
      <c r="F905" s="5"/>
      <c r="G905" s="5"/>
      <c r="H905" s="5"/>
      <c r="I905" s="5"/>
      <c r="J905" s="5"/>
      <c r="K905" s="5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4.25" customHeight="1">
      <c r="A906" s="36" t="s">
        <v>1178</v>
      </c>
      <c r="B906" s="37">
        <v>44571.0</v>
      </c>
      <c r="C906" s="73" t="s">
        <v>1179</v>
      </c>
      <c r="D906" s="2" t="s">
        <v>842</v>
      </c>
      <c r="E906" s="75" t="s">
        <v>1180</v>
      </c>
      <c r="F906" s="2" t="s">
        <v>822</v>
      </c>
      <c r="G906" s="8" t="s">
        <v>1181</v>
      </c>
      <c r="H906" s="2" t="s">
        <v>1182</v>
      </c>
      <c r="I906" s="2" t="s">
        <v>225</v>
      </c>
      <c r="J906" s="2" t="s">
        <v>1183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4.25" customHeight="1">
      <c r="A907" s="2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4.25" customHeight="1">
      <c r="A908" s="22"/>
      <c r="B908" s="71"/>
      <c r="C908" s="5"/>
      <c r="D908" s="5"/>
      <c r="E908" s="5"/>
      <c r="F908" s="5"/>
      <c r="G908" s="5"/>
      <c r="H908" s="5"/>
      <c r="I908" s="5"/>
      <c r="J908" s="5"/>
      <c r="K908" s="5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4.25" customHeight="1">
      <c r="A909" s="36" t="s">
        <v>1184</v>
      </c>
      <c r="B909" s="37">
        <v>44571.0</v>
      </c>
      <c r="C909" s="73" t="s">
        <v>1185</v>
      </c>
      <c r="D909" s="2" t="s">
        <v>842</v>
      </c>
      <c r="E909" s="74" t="s">
        <v>1186</v>
      </c>
      <c r="F909" s="2" t="s">
        <v>881</v>
      </c>
      <c r="G909" s="8" t="s">
        <v>1143</v>
      </c>
      <c r="H909" s="2" t="s">
        <v>1182</v>
      </c>
      <c r="I909" s="2" t="s">
        <v>225</v>
      </c>
      <c r="J909" s="2" t="s">
        <v>1183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4.25" customHeight="1">
      <c r="A910" s="2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4.25" customHeight="1">
      <c r="A911" s="22"/>
      <c r="B911" s="71"/>
      <c r="C911" s="5"/>
      <c r="D911" s="5"/>
      <c r="E911" s="5"/>
      <c r="F911" s="5"/>
      <c r="G911" s="5"/>
      <c r="H911" s="5"/>
      <c r="I911" s="5"/>
      <c r="J911" s="5"/>
      <c r="K911" s="5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4.25" customHeight="1">
      <c r="A912" s="36" t="s">
        <v>1187</v>
      </c>
      <c r="B912" s="37">
        <v>44572.0</v>
      </c>
      <c r="C912" s="3" t="s">
        <v>1188</v>
      </c>
      <c r="D912" s="2" t="s">
        <v>706</v>
      </c>
      <c r="E912" s="2"/>
      <c r="F912" s="2" t="s">
        <v>1189</v>
      </c>
      <c r="G912" s="8" t="s">
        <v>1190</v>
      </c>
      <c r="H912" s="2"/>
      <c r="I912" s="2"/>
      <c r="J912" s="8" t="s">
        <v>1191</v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4.25" customHeight="1">
      <c r="A913" s="26"/>
      <c r="B913" s="2"/>
      <c r="C913" s="2" t="s">
        <v>1192</v>
      </c>
      <c r="D913" s="2"/>
      <c r="E913" s="2"/>
      <c r="F913" s="2"/>
      <c r="G913" s="2"/>
      <c r="H913" s="2"/>
      <c r="I913" s="2"/>
      <c r="J913" s="2" t="s">
        <v>1027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4.25" customHeight="1">
      <c r="A914" s="22"/>
      <c r="B914" s="71"/>
      <c r="C914" s="5"/>
      <c r="D914" s="5"/>
      <c r="E914" s="5"/>
      <c r="F914" s="5"/>
      <c r="G914" s="5"/>
      <c r="H914" s="5"/>
      <c r="I914" s="5"/>
      <c r="J914" s="5"/>
      <c r="K914" s="5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4.25" customHeight="1">
      <c r="A915" s="36" t="s">
        <v>1193</v>
      </c>
      <c r="B915" s="37">
        <v>44572.0</v>
      </c>
      <c r="C915" s="42" t="s">
        <v>1194</v>
      </c>
      <c r="D915" s="2" t="s">
        <v>706</v>
      </c>
      <c r="E915" s="2">
        <v>2.7918336E7</v>
      </c>
      <c r="F915" s="2" t="s">
        <v>1195</v>
      </c>
      <c r="G915" s="8" t="s">
        <v>1196</v>
      </c>
      <c r="H915" s="8" t="s">
        <v>1170</v>
      </c>
      <c r="I915" s="2" t="s">
        <v>225</v>
      </c>
      <c r="J915" s="2" t="s">
        <v>1197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4.25" customHeight="1">
      <c r="A916" s="26"/>
      <c r="B916" s="2"/>
      <c r="C916" s="2"/>
      <c r="D916" s="2"/>
      <c r="E916" s="2"/>
      <c r="F916" s="2"/>
      <c r="G916" s="4"/>
      <c r="H916" s="77" t="s">
        <v>1198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4.25" customHeight="1">
      <c r="A917" s="22"/>
      <c r="B917" s="71"/>
      <c r="C917" s="5"/>
      <c r="D917" s="5"/>
      <c r="E917" s="5"/>
      <c r="F917" s="5"/>
      <c r="G917" s="5"/>
      <c r="H917" s="5"/>
      <c r="I917" s="5"/>
      <c r="J917" s="5"/>
      <c r="K917" s="5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4.25" customHeight="1">
      <c r="A918" s="36" t="s">
        <v>1199</v>
      </c>
      <c r="B918" s="37">
        <v>44572.0</v>
      </c>
      <c r="C918" s="73" t="s">
        <v>1200</v>
      </c>
      <c r="D918" s="2" t="s">
        <v>842</v>
      </c>
      <c r="E918" s="74">
        <v>2.5328829E7</v>
      </c>
      <c r="F918" s="2" t="s">
        <v>881</v>
      </c>
      <c r="G918" s="8" t="s">
        <v>1143</v>
      </c>
      <c r="H918" s="2"/>
      <c r="I918" s="2" t="s">
        <v>225</v>
      </c>
      <c r="J918" s="2" t="s">
        <v>1201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4.25" customHeight="1">
      <c r="A919" s="26"/>
      <c r="B919" s="2"/>
      <c r="C919" s="2"/>
      <c r="D919" s="2"/>
      <c r="E919" s="2"/>
      <c r="F919" s="2"/>
      <c r="G919" s="2"/>
      <c r="H919" s="2"/>
      <c r="I919" s="2"/>
      <c r="J919" s="2" t="s">
        <v>1202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4.25" customHeight="1">
      <c r="A920" s="22"/>
      <c r="B920" s="71"/>
      <c r="C920" s="5"/>
      <c r="D920" s="5"/>
      <c r="E920" s="5"/>
      <c r="F920" s="5"/>
      <c r="G920" s="5"/>
      <c r="H920" s="8"/>
      <c r="I920" s="5"/>
      <c r="J920" s="5"/>
      <c r="K920" s="5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4.25" customHeight="1">
      <c r="A921" s="36" t="s">
        <v>1203</v>
      </c>
      <c r="B921" s="37">
        <v>44574.0</v>
      </c>
      <c r="C921" s="73" t="s">
        <v>1204</v>
      </c>
      <c r="D921" s="2" t="s">
        <v>706</v>
      </c>
      <c r="E921" s="2"/>
      <c r="F921" s="2" t="s">
        <v>1189</v>
      </c>
      <c r="G921" s="8" t="s">
        <v>1205</v>
      </c>
      <c r="H921" s="2" t="s">
        <v>1198</v>
      </c>
      <c r="I921" s="2" t="s">
        <v>225</v>
      </c>
      <c r="J921" s="2" t="s">
        <v>1027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4.25" customHeight="1">
      <c r="A922" s="2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4.25" customHeight="1">
      <c r="A923" s="22"/>
      <c r="B923" s="71"/>
      <c r="C923" s="5"/>
      <c r="D923" s="5"/>
      <c r="E923" s="5"/>
      <c r="F923" s="5"/>
      <c r="G923" s="5"/>
      <c r="H923" s="5"/>
      <c r="I923" s="5"/>
      <c r="J923" s="5"/>
      <c r="K923" s="5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4.25" customHeight="1">
      <c r="A924" s="36" t="s">
        <v>1206</v>
      </c>
      <c r="B924" s="37">
        <v>44578.0</v>
      </c>
      <c r="C924" s="73" t="s">
        <v>1207</v>
      </c>
      <c r="D924" s="2" t="s">
        <v>842</v>
      </c>
      <c r="E924" s="2" t="s">
        <v>1208</v>
      </c>
      <c r="F924" s="2" t="s">
        <v>881</v>
      </c>
      <c r="G924" s="8" t="s">
        <v>1143</v>
      </c>
      <c r="H924" s="2"/>
      <c r="I924" s="2" t="s">
        <v>225</v>
      </c>
      <c r="J924" s="2" t="s">
        <v>516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4.25" customHeight="1">
      <c r="A925" s="2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4.25" customHeight="1">
      <c r="A926" s="22"/>
      <c r="B926" s="71"/>
      <c r="C926" s="5"/>
      <c r="D926" s="5"/>
      <c r="E926" s="5"/>
      <c r="F926" s="5"/>
      <c r="G926" s="5"/>
      <c r="H926" s="5"/>
      <c r="I926" s="5"/>
      <c r="J926" s="5"/>
      <c r="K926" s="5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4.25" customHeight="1">
      <c r="A927" s="36" t="s">
        <v>1209</v>
      </c>
      <c r="B927" s="37">
        <v>44578.0</v>
      </c>
      <c r="C927" s="73" t="s">
        <v>672</v>
      </c>
      <c r="D927" s="2" t="s">
        <v>842</v>
      </c>
      <c r="E927" s="75" t="s">
        <v>1210</v>
      </c>
      <c r="F927" s="2" t="s">
        <v>881</v>
      </c>
      <c r="G927" s="8" t="s">
        <v>1143</v>
      </c>
      <c r="H927" s="2"/>
      <c r="I927" s="2" t="s">
        <v>225</v>
      </c>
      <c r="J927" s="2" t="s">
        <v>516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4.25" customHeight="1">
      <c r="A928" s="2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4.25" customHeight="1">
      <c r="A929" s="22"/>
      <c r="B929" s="71"/>
      <c r="C929" s="5"/>
      <c r="D929" s="5"/>
      <c r="E929" s="5"/>
      <c r="F929" s="5"/>
      <c r="G929" s="5"/>
      <c r="H929" s="5"/>
      <c r="I929" s="5"/>
      <c r="J929" s="5"/>
      <c r="K929" s="5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4.25" customHeight="1">
      <c r="A930" s="36" t="s">
        <v>1211</v>
      </c>
      <c r="B930" s="37">
        <v>44578.0</v>
      </c>
      <c r="C930" s="3" t="s">
        <v>1212</v>
      </c>
      <c r="D930" s="8" t="s">
        <v>842</v>
      </c>
      <c r="E930" s="69" t="s">
        <v>1213</v>
      </c>
      <c r="F930" s="8" t="s">
        <v>881</v>
      </c>
      <c r="G930" s="8" t="s">
        <v>1143</v>
      </c>
      <c r="H930" s="8"/>
      <c r="I930" s="8" t="s">
        <v>225</v>
      </c>
      <c r="J930" s="8" t="s">
        <v>1027</v>
      </c>
      <c r="K930" s="8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4.25" customHeight="1">
      <c r="A931" s="26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4.25" customHeight="1">
      <c r="A932" s="22"/>
      <c r="B932" s="71"/>
      <c r="C932" s="5"/>
      <c r="D932" s="5"/>
      <c r="E932" s="5"/>
      <c r="F932" s="5"/>
      <c r="G932" s="5"/>
      <c r="H932" s="5"/>
      <c r="I932" s="5"/>
      <c r="J932" s="5"/>
      <c r="K932" s="5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4.25" customHeight="1">
      <c r="A933" s="36" t="s">
        <v>1214</v>
      </c>
      <c r="B933" s="37">
        <v>44581.0</v>
      </c>
      <c r="C933" s="3" t="s">
        <v>1215</v>
      </c>
      <c r="D933" s="8" t="s">
        <v>1216</v>
      </c>
      <c r="E933" s="64" t="s">
        <v>1217</v>
      </c>
      <c r="F933" s="8" t="s">
        <v>1218</v>
      </c>
      <c r="G933" s="8" t="s">
        <v>1196</v>
      </c>
      <c r="H933" s="8"/>
      <c r="I933" s="8" t="s">
        <v>225</v>
      </c>
      <c r="J933" s="8"/>
      <c r="K933" s="8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4.25" customHeight="1">
      <c r="A934" s="26"/>
      <c r="B934" s="8"/>
      <c r="C934" s="8" t="s">
        <v>1219</v>
      </c>
      <c r="D934" s="8"/>
      <c r="E934" s="8"/>
      <c r="F934" s="8"/>
      <c r="G934" s="8"/>
      <c r="H934" s="8"/>
      <c r="I934" s="8"/>
      <c r="J934" s="8"/>
      <c r="K934" s="8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4.25" customHeight="1">
      <c r="A935" s="22"/>
      <c r="B935" s="71"/>
      <c r="C935" s="5"/>
      <c r="D935" s="5"/>
      <c r="E935" s="5"/>
      <c r="F935" s="5"/>
      <c r="G935" s="5"/>
      <c r="H935" s="5"/>
      <c r="I935" s="5"/>
      <c r="J935" s="5"/>
      <c r="K935" s="5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4.25" customHeight="1">
      <c r="A936" s="36" t="s">
        <v>1220</v>
      </c>
      <c r="B936" s="37">
        <v>44581.0</v>
      </c>
      <c r="C936" s="42" t="s">
        <v>1221</v>
      </c>
      <c r="D936" s="8" t="s">
        <v>842</v>
      </c>
      <c r="E936" s="8" t="s">
        <v>1222</v>
      </c>
      <c r="F936" s="8" t="s">
        <v>881</v>
      </c>
      <c r="G936" s="8" t="s">
        <v>1143</v>
      </c>
      <c r="H936" s="8"/>
      <c r="I936" s="8" t="s">
        <v>225</v>
      </c>
      <c r="J936" s="8"/>
      <c r="K936" s="8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4.25" customHeight="1">
      <c r="A937" s="26"/>
      <c r="B937" s="8"/>
      <c r="C937" s="8"/>
      <c r="D937" s="8"/>
      <c r="E937" s="8"/>
      <c r="F937" s="8"/>
      <c r="G937" s="8"/>
      <c r="H937" s="8"/>
      <c r="I937" s="2"/>
      <c r="J937" s="8"/>
      <c r="K937" s="8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4.25" customHeight="1">
      <c r="A938" s="22"/>
      <c r="B938" s="71"/>
      <c r="C938" s="5"/>
      <c r="D938" s="5"/>
      <c r="E938" s="5"/>
      <c r="F938" s="5"/>
      <c r="G938" s="5"/>
      <c r="H938" s="5"/>
      <c r="I938" s="5"/>
      <c r="J938" s="5"/>
      <c r="K938" s="5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4.25" customHeight="1">
      <c r="A939" s="36" t="s">
        <v>1223</v>
      </c>
      <c r="B939" s="37">
        <v>44581.0</v>
      </c>
      <c r="C939" s="3" t="s">
        <v>1224</v>
      </c>
      <c r="D939" s="8" t="s">
        <v>842</v>
      </c>
      <c r="E939" s="8" t="s">
        <v>1225</v>
      </c>
      <c r="F939" s="8" t="s">
        <v>58</v>
      </c>
      <c r="G939" s="8" t="s">
        <v>1143</v>
      </c>
      <c r="H939" s="8" t="s">
        <v>516</v>
      </c>
      <c r="I939" s="8" t="s">
        <v>225</v>
      </c>
      <c r="J939" s="8"/>
      <c r="K939" s="8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4.25" customHeight="1">
      <c r="A940" s="26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4.25" customHeight="1">
      <c r="A941" s="22"/>
      <c r="B941" s="71"/>
      <c r="C941" s="5"/>
      <c r="D941" s="5"/>
      <c r="E941" s="5"/>
      <c r="F941" s="5"/>
      <c r="G941" s="5"/>
      <c r="H941" s="5"/>
      <c r="I941" s="5"/>
      <c r="J941" s="5"/>
      <c r="K941" s="5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4.25" customHeight="1">
      <c r="A942" s="36" t="s">
        <v>1226</v>
      </c>
      <c r="B942" s="37">
        <v>44581.0</v>
      </c>
      <c r="C942" s="3" t="s">
        <v>1224</v>
      </c>
      <c r="D942" s="8" t="s">
        <v>842</v>
      </c>
      <c r="E942" s="8" t="s">
        <v>1227</v>
      </c>
      <c r="F942" s="8" t="s">
        <v>58</v>
      </c>
      <c r="G942" s="8" t="s">
        <v>1143</v>
      </c>
      <c r="H942" s="8" t="s">
        <v>516</v>
      </c>
      <c r="I942" s="8" t="s">
        <v>225</v>
      </c>
      <c r="J942" s="8"/>
      <c r="K942" s="8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4.25" customHeight="1">
      <c r="A943" s="26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4.25" customHeight="1">
      <c r="A944" s="22"/>
      <c r="B944" s="71"/>
      <c r="C944" s="5"/>
      <c r="D944" s="5"/>
      <c r="E944" s="5"/>
      <c r="F944" s="5"/>
      <c r="G944" s="5"/>
      <c r="H944" s="5"/>
      <c r="I944" s="5"/>
      <c r="J944" s="5"/>
      <c r="K944" s="5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4.25" customHeight="1">
      <c r="A945" s="36" t="s">
        <v>1228</v>
      </c>
      <c r="B945" s="37">
        <v>44585.0</v>
      </c>
      <c r="C945" s="3" t="s">
        <v>1229</v>
      </c>
      <c r="D945" s="8" t="s">
        <v>842</v>
      </c>
      <c r="E945" s="8" t="s">
        <v>1230</v>
      </c>
      <c r="F945" s="8" t="s">
        <v>58</v>
      </c>
      <c r="G945" s="8" t="s">
        <v>1133</v>
      </c>
      <c r="H945" s="8" t="s">
        <v>516</v>
      </c>
      <c r="I945" s="8" t="s">
        <v>225</v>
      </c>
      <c r="J945" s="8"/>
      <c r="K945" s="8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4.25" customHeight="1">
      <c r="A946" s="26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4.25" customHeight="1">
      <c r="A947" s="22"/>
      <c r="B947" s="71"/>
      <c r="C947" s="5"/>
      <c r="D947" s="5"/>
      <c r="E947" s="5"/>
      <c r="F947" s="5"/>
      <c r="G947" s="5"/>
      <c r="H947" s="5"/>
      <c r="I947" s="5"/>
      <c r="J947" s="5"/>
      <c r="K947" s="5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4.25" customHeight="1">
      <c r="A948" s="36" t="s">
        <v>1231</v>
      </c>
      <c r="B948" s="37">
        <v>44585.0</v>
      </c>
      <c r="C948" s="3" t="s">
        <v>1232</v>
      </c>
      <c r="D948" s="8" t="s">
        <v>842</v>
      </c>
      <c r="E948" s="8" t="s">
        <v>1233</v>
      </c>
      <c r="F948" s="8" t="s">
        <v>881</v>
      </c>
      <c r="G948" s="8" t="s">
        <v>1143</v>
      </c>
      <c r="H948" s="8" t="s">
        <v>1234</v>
      </c>
      <c r="I948" s="8" t="s">
        <v>225</v>
      </c>
      <c r="J948" s="8"/>
      <c r="K948" s="8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4.25" customHeight="1">
      <c r="A949" s="26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4.25" customHeight="1">
      <c r="A950" s="22"/>
      <c r="B950" s="71"/>
      <c r="C950" s="5"/>
      <c r="D950" s="5"/>
      <c r="E950" s="5"/>
      <c r="F950" s="5"/>
      <c r="G950" s="5"/>
      <c r="H950" s="5"/>
      <c r="I950" s="5"/>
      <c r="J950" s="5"/>
      <c r="K950" s="5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4.25" customHeight="1">
      <c r="A951" s="36" t="s">
        <v>1235</v>
      </c>
      <c r="B951" s="37">
        <v>44592.0</v>
      </c>
      <c r="C951" s="3" t="s">
        <v>1236</v>
      </c>
      <c r="D951" s="8" t="s">
        <v>842</v>
      </c>
      <c r="E951" s="8" t="s">
        <v>1237</v>
      </c>
      <c r="F951" s="8" t="s">
        <v>58</v>
      </c>
      <c r="G951" s="8" t="s">
        <v>1143</v>
      </c>
      <c r="H951" s="8" t="s">
        <v>1238</v>
      </c>
      <c r="I951" s="8" t="s">
        <v>225</v>
      </c>
      <c r="J951" s="8"/>
      <c r="K951" s="8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4.25" customHeight="1">
      <c r="A952" s="26"/>
      <c r="B952" s="8"/>
      <c r="C952" s="8"/>
      <c r="D952" s="8"/>
      <c r="E952" s="8"/>
      <c r="F952" s="8"/>
      <c r="G952" s="8"/>
      <c r="H952" s="8" t="s">
        <v>516</v>
      </c>
      <c r="I952" s="8"/>
      <c r="J952" s="8"/>
      <c r="K952" s="8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4.25" customHeight="1">
      <c r="A953" s="22"/>
      <c r="B953" s="71"/>
      <c r="C953" s="5"/>
      <c r="D953" s="5"/>
      <c r="E953" s="5"/>
      <c r="F953" s="5"/>
      <c r="G953" s="5"/>
      <c r="H953" s="5"/>
      <c r="I953" s="5"/>
      <c r="J953" s="5"/>
      <c r="K953" s="5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4.25" customHeight="1">
      <c r="A954" s="36" t="s">
        <v>1239</v>
      </c>
      <c r="B954" s="37">
        <v>44592.0</v>
      </c>
      <c r="C954" s="3" t="s">
        <v>1240</v>
      </c>
      <c r="D954" s="8" t="s">
        <v>842</v>
      </c>
      <c r="E954" s="8" t="s">
        <v>1241</v>
      </c>
      <c r="F954" s="8" t="s">
        <v>881</v>
      </c>
      <c r="G954" s="8" t="s">
        <v>1143</v>
      </c>
      <c r="H954" s="1" t="s">
        <v>1242</v>
      </c>
      <c r="I954" s="8" t="s">
        <v>225</v>
      </c>
      <c r="J954" s="1" t="s">
        <v>1243</v>
      </c>
      <c r="K954" s="1" t="s">
        <v>1244</v>
      </c>
      <c r="L954" s="1" t="s">
        <v>1243</v>
      </c>
      <c r="M954" s="1" t="s">
        <v>1245</v>
      </c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4.25" customHeight="1">
      <c r="A955" s="26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4.25" customHeight="1">
      <c r="A956" s="22"/>
      <c r="B956" s="71"/>
      <c r="C956" s="5"/>
      <c r="D956" s="5"/>
      <c r="E956" s="5"/>
      <c r="F956" s="5"/>
      <c r="G956" s="5"/>
      <c r="H956" s="5"/>
      <c r="I956" s="5"/>
      <c r="J956" s="5"/>
      <c r="K956" s="5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4.25" customHeight="1">
      <c r="A957" s="36" t="s">
        <v>1246</v>
      </c>
      <c r="B957" s="37">
        <v>44595.0</v>
      </c>
      <c r="C957" s="3" t="s">
        <v>1247</v>
      </c>
      <c r="D957" s="8" t="s">
        <v>842</v>
      </c>
      <c r="E957" s="8" t="s">
        <v>1248</v>
      </c>
      <c r="F957" s="8" t="s">
        <v>881</v>
      </c>
      <c r="G957" s="8" t="s">
        <v>1143</v>
      </c>
      <c r="H957" s="8" t="s">
        <v>1249</v>
      </c>
      <c r="I957" s="8" t="s">
        <v>668</v>
      </c>
      <c r="J957" s="78" t="s">
        <v>1250</v>
      </c>
      <c r="K957" s="8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4.25" customHeight="1">
      <c r="A958" s="26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4.25" customHeight="1">
      <c r="A959" s="22"/>
      <c r="B959" s="71"/>
      <c r="C959" s="5"/>
      <c r="D959" s="5"/>
      <c r="E959" s="5"/>
      <c r="F959" s="5"/>
      <c r="G959" s="5"/>
      <c r="H959" s="5"/>
      <c r="I959" s="5"/>
      <c r="J959" s="5"/>
      <c r="K959" s="5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4.25" customHeight="1">
      <c r="A960" s="36" t="s">
        <v>1251</v>
      </c>
      <c r="B960" s="37">
        <v>44595.0</v>
      </c>
      <c r="C960" s="3" t="s">
        <v>837</v>
      </c>
      <c r="D960" s="8" t="s">
        <v>706</v>
      </c>
      <c r="E960" s="8" t="s">
        <v>1252</v>
      </c>
      <c r="F960" s="8" t="s">
        <v>58</v>
      </c>
      <c r="G960" s="8" t="s">
        <v>1143</v>
      </c>
      <c r="H960" s="1" t="s">
        <v>1253</v>
      </c>
      <c r="I960" s="8" t="s">
        <v>668</v>
      </c>
      <c r="J960" s="1" t="s">
        <v>1243</v>
      </c>
      <c r="K960" s="1" t="s">
        <v>1254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4.25" customHeight="1">
      <c r="A961" s="26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4.25" customHeight="1">
      <c r="A962" s="22"/>
      <c r="B962" s="71"/>
      <c r="C962" s="5"/>
      <c r="D962" s="5"/>
      <c r="E962" s="5"/>
      <c r="F962" s="5"/>
      <c r="G962" s="5"/>
      <c r="H962" s="5"/>
      <c r="I962" s="5"/>
      <c r="J962" s="5"/>
      <c r="K962" s="5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4.25" customHeight="1">
      <c r="A963" s="36" t="s">
        <v>1255</v>
      </c>
      <c r="B963" s="37">
        <v>44600.0</v>
      </c>
      <c r="C963" s="3" t="s">
        <v>1256</v>
      </c>
      <c r="D963" s="8" t="s">
        <v>842</v>
      </c>
      <c r="E963" s="70" t="s">
        <v>1257</v>
      </c>
      <c r="F963" s="8" t="s">
        <v>881</v>
      </c>
      <c r="G963" s="8" t="s">
        <v>1143</v>
      </c>
      <c r="H963" s="8" t="s">
        <v>1258</v>
      </c>
      <c r="I963" s="8" t="s">
        <v>668</v>
      </c>
      <c r="J963" s="8"/>
      <c r="K963" s="8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4.25" customHeight="1">
      <c r="A964" s="26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4.25" customHeight="1">
      <c r="A965" s="22"/>
      <c r="B965" s="71"/>
      <c r="C965" s="5"/>
      <c r="D965" s="5"/>
      <c r="E965" s="5"/>
      <c r="F965" s="5"/>
      <c r="G965" s="5"/>
      <c r="H965" s="5"/>
      <c r="I965" s="5"/>
      <c r="J965" s="5"/>
      <c r="K965" s="5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4.25" customHeight="1">
      <c r="A966" s="36" t="s">
        <v>1259</v>
      </c>
      <c r="B966" s="37">
        <v>44602.0</v>
      </c>
      <c r="C966" s="3" t="s">
        <v>1260</v>
      </c>
      <c r="D966" s="8" t="s">
        <v>842</v>
      </c>
      <c r="E966" s="68" t="s">
        <v>1261</v>
      </c>
      <c r="F966" s="8" t="s">
        <v>58</v>
      </c>
      <c r="G966" s="8" t="s">
        <v>1262</v>
      </c>
      <c r="H966" s="8"/>
      <c r="I966" s="8" t="s">
        <v>225</v>
      </c>
      <c r="J966" s="8"/>
      <c r="K966" s="8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4.25" customHeight="1">
      <c r="A967" s="26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4.25" customHeight="1">
      <c r="A968" s="22"/>
      <c r="B968" s="71"/>
      <c r="C968" s="5"/>
      <c r="D968" s="5"/>
      <c r="E968" s="5"/>
      <c r="F968" s="5"/>
      <c r="G968" s="5"/>
      <c r="H968" s="5"/>
      <c r="I968" s="5"/>
      <c r="J968" s="5"/>
      <c r="K968" s="5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4.25" customHeight="1">
      <c r="A969" s="79" t="s">
        <v>1263</v>
      </c>
      <c r="B969" s="80">
        <v>44238.0</v>
      </c>
      <c r="C969" s="81" t="s">
        <v>1264</v>
      </c>
      <c r="D969" s="8" t="s">
        <v>842</v>
      </c>
      <c r="E969" s="8" t="s">
        <v>1265</v>
      </c>
      <c r="F969" s="8" t="s">
        <v>881</v>
      </c>
      <c r="G969" s="8" t="s">
        <v>1143</v>
      </c>
      <c r="H969" s="1" t="s">
        <v>1266</v>
      </c>
      <c r="I969" s="8" t="s">
        <v>225</v>
      </c>
      <c r="J969" s="42" t="s">
        <v>1267</v>
      </c>
      <c r="K969" s="1" t="s">
        <v>1268</v>
      </c>
      <c r="L969" s="1" t="s">
        <v>1269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4.25" customHeight="1">
      <c r="A970" s="26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3.5" customHeight="1">
      <c r="A971" s="22"/>
      <c r="B971" s="71"/>
      <c r="C971" s="5"/>
      <c r="D971" s="5"/>
      <c r="E971" s="5"/>
      <c r="F971" s="5"/>
      <c r="G971" s="5"/>
      <c r="H971" s="5"/>
      <c r="I971" s="5"/>
      <c r="J971" s="5"/>
      <c r="K971" s="5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ht="14.25" customHeight="1">
      <c r="A972" s="36" t="s">
        <v>1270</v>
      </c>
      <c r="B972" s="37">
        <v>44238.0</v>
      </c>
      <c r="C972" s="3" t="s">
        <v>787</v>
      </c>
      <c r="D972" s="8" t="s">
        <v>842</v>
      </c>
      <c r="E972" s="8" t="s">
        <v>1271</v>
      </c>
      <c r="F972" s="8" t="s">
        <v>822</v>
      </c>
      <c r="G972" s="8" t="s">
        <v>1143</v>
      </c>
      <c r="H972" s="1" t="s">
        <v>1253</v>
      </c>
      <c r="I972" s="8" t="s">
        <v>225</v>
      </c>
      <c r="J972" s="1" t="s">
        <v>1243</v>
      </c>
      <c r="K972" s="1" t="s">
        <v>1254</v>
      </c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ht="14.25" customHeight="1">
      <c r="A973" s="26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ht="14.25" customHeight="1">
      <c r="A974" s="22"/>
      <c r="B974" s="71"/>
      <c r="C974" s="5"/>
      <c r="D974" s="5"/>
      <c r="E974" s="5"/>
      <c r="F974" s="5"/>
      <c r="G974" s="5"/>
      <c r="H974" s="5"/>
      <c r="I974" s="5"/>
      <c r="J974" s="5"/>
      <c r="K974" s="5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ht="14.25" customHeight="1">
      <c r="A975" s="36" t="s">
        <v>1272</v>
      </c>
      <c r="B975" s="37">
        <v>44608.0</v>
      </c>
      <c r="C975" s="82" t="s">
        <v>1273</v>
      </c>
      <c r="D975" s="8" t="s">
        <v>842</v>
      </c>
      <c r="E975" s="60" t="s">
        <v>1274</v>
      </c>
      <c r="F975" s="8" t="s">
        <v>822</v>
      </c>
      <c r="G975" s="8" t="s">
        <v>1143</v>
      </c>
      <c r="H975" s="1" t="s">
        <v>1253</v>
      </c>
      <c r="I975" s="8" t="s">
        <v>225</v>
      </c>
      <c r="J975" s="1" t="s">
        <v>1243</v>
      </c>
      <c r="K975" s="1" t="s">
        <v>1275</v>
      </c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ht="14.25" customHeight="1">
      <c r="A976" s="26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ht="14.25" customHeight="1">
      <c r="A977" s="22"/>
      <c r="B977" s="71"/>
      <c r="C977" s="5"/>
      <c r="D977" s="5"/>
      <c r="E977" s="5"/>
      <c r="F977" s="5"/>
      <c r="G977" s="5"/>
      <c r="H977" s="5"/>
      <c r="I977" s="5"/>
      <c r="J977" s="5"/>
      <c r="K977" s="5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ht="14.25" customHeight="1">
      <c r="A978" s="36" t="s">
        <v>1276</v>
      </c>
      <c r="B978" s="37">
        <v>44608.0</v>
      </c>
      <c r="C978" s="3" t="s">
        <v>1277</v>
      </c>
      <c r="D978" s="8" t="s">
        <v>842</v>
      </c>
      <c r="E978" s="8" t="s">
        <v>1278</v>
      </c>
      <c r="F978" s="8" t="s">
        <v>822</v>
      </c>
      <c r="G978" s="8" t="s">
        <v>1143</v>
      </c>
      <c r="H978" s="1" t="s">
        <v>1253</v>
      </c>
      <c r="I978" s="8" t="s">
        <v>225</v>
      </c>
      <c r="J978" s="1" t="s">
        <v>1243</v>
      </c>
      <c r="K978" s="1" t="s">
        <v>1279</v>
      </c>
      <c r="L978" s="1" t="s">
        <v>1243</v>
      </c>
      <c r="M978" s="1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ht="14.25" customHeight="1">
      <c r="A979" s="26"/>
      <c r="B979" s="8"/>
      <c r="C979" s="8"/>
      <c r="D979" s="8"/>
      <c r="E979" s="8"/>
      <c r="F979" s="8"/>
      <c r="G979" s="8"/>
      <c r="H979" s="1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ht="14.25" customHeight="1">
      <c r="A980" s="22"/>
      <c r="B980" s="71"/>
      <c r="C980" s="5"/>
      <c r="D980" s="5"/>
      <c r="E980" s="5"/>
      <c r="F980" s="5"/>
      <c r="G980" s="5"/>
      <c r="H980" s="5"/>
      <c r="I980" s="5"/>
      <c r="J980" s="5"/>
      <c r="K980" s="5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ht="14.25" customHeight="1">
      <c r="A981" s="79" t="s">
        <v>1280</v>
      </c>
      <c r="B981" s="80">
        <v>44610.0</v>
      </c>
      <c r="C981" s="81" t="s">
        <v>1281</v>
      </c>
      <c r="D981" s="83" t="s">
        <v>842</v>
      </c>
      <c r="E981" s="83" t="s">
        <v>1282</v>
      </c>
      <c r="F981" s="84" t="s">
        <v>58</v>
      </c>
      <c r="G981" s="85" t="s">
        <v>1143</v>
      </c>
      <c r="H981" s="78" t="s">
        <v>1283</v>
      </c>
      <c r="I981" s="78" t="s">
        <v>1284</v>
      </c>
      <c r="J981" s="78" t="s">
        <v>1285</v>
      </c>
      <c r="K981" s="78" t="s">
        <v>1286</v>
      </c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ht="14.25" customHeight="1">
      <c r="A982" s="26"/>
      <c r="B982" s="8"/>
      <c r="C982" s="8"/>
      <c r="D982" s="8"/>
      <c r="E982" s="8"/>
      <c r="F982" s="8" t="s">
        <v>822</v>
      </c>
      <c r="G982" s="8" t="s">
        <v>1143</v>
      </c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ht="14.25" customHeight="1">
      <c r="A983" s="22"/>
      <c r="B983" s="71"/>
      <c r="C983" s="5"/>
      <c r="D983" s="5"/>
      <c r="E983" s="5"/>
      <c r="F983" s="5"/>
      <c r="G983" s="5"/>
      <c r="H983" s="5"/>
      <c r="I983" s="5"/>
      <c r="J983" s="5"/>
      <c r="K983" s="5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ht="14.25" customHeight="1">
      <c r="A984" s="79" t="s">
        <v>1287</v>
      </c>
      <c r="B984" s="80">
        <v>44610.0</v>
      </c>
      <c r="C984" s="81" t="s">
        <v>1288</v>
      </c>
      <c r="D984" s="83" t="s">
        <v>1289</v>
      </c>
      <c r="E984" s="86" t="s">
        <v>1290</v>
      </c>
      <c r="F984" s="83"/>
      <c r="G984" s="83" t="s">
        <v>1143</v>
      </c>
      <c r="H984" s="78" t="s">
        <v>1283</v>
      </c>
      <c r="I984" s="83" t="s">
        <v>225</v>
      </c>
      <c r="J984" s="78" t="s">
        <v>1285</v>
      </c>
      <c r="K984" s="78" t="s">
        <v>1286</v>
      </c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ht="14.25" customHeight="1">
      <c r="A985" s="26"/>
      <c r="B985" s="8"/>
      <c r="C985" s="8"/>
      <c r="D985" s="8"/>
      <c r="E985" s="64"/>
      <c r="F985" s="8"/>
      <c r="G985" s="8"/>
      <c r="H985" s="8"/>
      <c r="I985" s="8"/>
      <c r="J985" s="78" t="s">
        <v>1291</v>
      </c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ht="14.25" customHeight="1">
      <c r="A986" s="6" t="s">
        <v>1</v>
      </c>
      <c r="B986" s="6" t="s">
        <v>2</v>
      </c>
      <c r="C986" s="6" t="s">
        <v>3</v>
      </c>
      <c r="D986" s="6" t="s">
        <v>4</v>
      </c>
      <c r="E986" s="6" t="s">
        <v>5</v>
      </c>
      <c r="F986" s="6" t="s">
        <v>1</v>
      </c>
      <c r="G986" s="6" t="s">
        <v>6</v>
      </c>
      <c r="H986" s="6" t="s">
        <v>7</v>
      </c>
      <c r="I986" s="87" t="s">
        <v>1292</v>
      </c>
      <c r="J986" s="87" t="s">
        <v>516</v>
      </c>
      <c r="K986" s="6" t="s">
        <v>10</v>
      </c>
      <c r="L986" s="6" t="s">
        <v>11</v>
      </c>
      <c r="M986" s="6" t="s">
        <v>12</v>
      </c>
      <c r="N986" s="87" t="s">
        <v>1293</v>
      </c>
      <c r="O986" s="87" t="s">
        <v>1294</v>
      </c>
      <c r="P986" s="6" t="s">
        <v>15</v>
      </c>
      <c r="Q986" s="87" t="s">
        <v>1295</v>
      </c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4.25" customHeight="1">
      <c r="A987" s="36" t="s">
        <v>1296</v>
      </c>
      <c r="B987" s="37">
        <v>44613.0</v>
      </c>
      <c r="C987" s="3" t="s">
        <v>1297</v>
      </c>
      <c r="D987" s="8" t="s">
        <v>1289</v>
      </c>
      <c r="E987" s="8"/>
      <c r="F987" s="8" t="s">
        <v>58</v>
      </c>
      <c r="G987" s="8" t="s">
        <v>1143</v>
      </c>
      <c r="H987" s="1" t="s">
        <v>1253</v>
      </c>
      <c r="I987" s="1" t="s">
        <v>1298</v>
      </c>
      <c r="J987" s="1" t="s">
        <v>1243</v>
      </c>
      <c r="K987" s="1" t="s">
        <v>1299</v>
      </c>
      <c r="L987" s="1" t="s">
        <v>1243</v>
      </c>
      <c r="M987" s="8"/>
      <c r="N987" s="1" t="s">
        <v>1300</v>
      </c>
      <c r="O987" s="1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ht="14.25" customHeight="1">
      <c r="A988" s="26"/>
      <c r="B988" s="8"/>
      <c r="C988" s="8"/>
      <c r="D988" s="8"/>
      <c r="E988" s="8"/>
      <c r="F988" s="8"/>
      <c r="G988" s="8"/>
      <c r="H988" s="8"/>
      <c r="I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ht="14.25" customHeight="1">
      <c r="A989" s="79" t="s">
        <v>1301</v>
      </c>
      <c r="B989" s="80">
        <v>44613.0</v>
      </c>
      <c r="C989" s="81" t="s">
        <v>1302</v>
      </c>
      <c r="D989" s="8" t="s">
        <v>842</v>
      </c>
      <c r="E989" s="8"/>
      <c r="F989" s="88" t="s">
        <v>1303</v>
      </c>
      <c r="G989" s="72" t="s">
        <v>1181</v>
      </c>
      <c r="H989" s="1" t="s">
        <v>1304</v>
      </c>
      <c r="I989" s="1" t="s">
        <v>1305</v>
      </c>
      <c r="J989" s="1" t="s">
        <v>1285</v>
      </c>
      <c r="K989" s="78" t="s">
        <v>1306</v>
      </c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ht="14.25" customHeight="1">
      <c r="A990" s="26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ht="14.25" customHeight="1">
      <c r="A991" s="79" t="s">
        <v>1307</v>
      </c>
      <c r="B991" s="89">
        <v>44617.0</v>
      </c>
      <c r="C991" s="81" t="s">
        <v>787</v>
      </c>
      <c r="D991" s="8" t="s">
        <v>842</v>
      </c>
      <c r="E991" s="64" t="s">
        <v>1308</v>
      </c>
      <c r="F991" s="8" t="s">
        <v>58</v>
      </c>
      <c r="G991" s="1" t="s">
        <v>1309</v>
      </c>
      <c r="H991" s="1" t="s">
        <v>1253</v>
      </c>
      <c r="I991" s="8" t="s">
        <v>1310</v>
      </c>
      <c r="J991" s="8" t="s">
        <v>1311</v>
      </c>
      <c r="K991" s="78" t="s">
        <v>1306</v>
      </c>
      <c r="L991" s="83"/>
      <c r="M991" s="83"/>
      <c r="N991" s="83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ht="14.25" customHeight="1">
      <c r="A992" s="26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ht="14.25" customHeight="1">
      <c r="A993" s="79" t="s">
        <v>1312</v>
      </c>
      <c r="B993" s="89">
        <v>44622.0</v>
      </c>
      <c r="C993" s="81" t="s">
        <v>1313</v>
      </c>
      <c r="D993" s="8" t="s">
        <v>1314</v>
      </c>
      <c r="E993" s="8" t="s">
        <v>1315</v>
      </c>
      <c r="F993" s="8" t="s">
        <v>1091</v>
      </c>
      <c r="G993" s="1" t="s">
        <v>1316</v>
      </c>
      <c r="H993" s="1" t="s">
        <v>1304</v>
      </c>
      <c r="I993" s="8" t="s">
        <v>1139</v>
      </c>
      <c r="J993" s="1" t="s">
        <v>1285</v>
      </c>
      <c r="K993" s="78" t="s">
        <v>1306</v>
      </c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ht="14.25" customHeight="1">
      <c r="A994" s="36"/>
      <c r="B994" s="3"/>
      <c r="C994" s="3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ht="30.75" customHeight="1">
      <c r="A995" s="36" t="s">
        <v>1317</v>
      </c>
      <c r="B995" s="25">
        <v>44623.0</v>
      </c>
      <c r="C995" s="3" t="s">
        <v>1318</v>
      </c>
      <c r="D995" s="1" t="s">
        <v>1319</v>
      </c>
      <c r="E995" s="1" t="s">
        <v>1320</v>
      </c>
      <c r="F995" s="1" t="s">
        <v>1321</v>
      </c>
      <c r="G995" s="1" t="s">
        <v>1322</v>
      </c>
      <c r="H995" s="1" t="s">
        <v>1323</v>
      </c>
      <c r="I995" s="1" t="s">
        <v>1324</v>
      </c>
      <c r="J995" s="1" t="s">
        <v>1325</v>
      </c>
      <c r="K995" s="90" t="s">
        <v>1326</v>
      </c>
      <c r="L995" s="1" t="s">
        <v>1243</v>
      </c>
      <c r="M995" s="1" t="s">
        <v>1327</v>
      </c>
      <c r="N995" s="1" t="s">
        <v>1243</v>
      </c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ht="14.25" customHeight="1">
      <c r="A996" s="36"/>
      <c r="B996" s="3"/>
      <c r="C996" s="3"/>
      <c r="D996" s="8"/>
      <c r="E996" s="8"/>
      <c r="G996" s="1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ht="14.25" customHeight="1">
      <c r="A997" s="36" t="s">
        <v>1328</v>
      </c>
      <c r="B997" s="25">
        <v>44625.0</v>
      </c>
      <c r="C997" s="42" t="s">
        <v>1329</v>
      </c>
      <c r="D997" s="1" t="s">
        <v>1330</v>
      </c>
      <c r="E997" s="1" t="s">
        <v>1331</v>
      </c>
      <c r="F997" s="1" t="s">
        <v>1332</v>
      </c>
      <c r="G997" s="1" t="s">
        <v>1333</v>
      </c>
      <c r="H997" s="1" t="s">
        <v>1334</v>
      </c>
      <c r="I997" s="8" t="s">
        <v>1139</v>
      </c>
      <c r="J997" s="1" t="s">
        <v>1243</v>
      </c>
      <c r="K997" s="1" t="s">
        <v>1335</v>
      </c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ht="14.25" customHeight="1">
      <c r="A998" s="36"/>
      <c r="B998" s="3"/>
      <c r="C998" s="3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ht="14.25" customHeight="1">
      <c r="A999" s="36" t="s">
        <v>1336</v>
      </c>
      <c r="B999" s="25">
        <v>44625.0</v>
      </c>
      <c r="C999" s="42" t="s">
        <v>1337</v>
      </c>
      <c r="D999" s="1" t="s">
        <v>1330</v>
      </c>
      <c r="E999" s="1" t="s">
        <v>1338</v>
      </c>
      <c r="F999" s="1" t="s">
        <v>1091</v>
      </c>
      <c r="G999" s="1" t="s">
        <v>1339</v>
      </c>
      <c r="H999" s="1" t="s">
        <v>1253</v>
      </c>
      <c r="I999" s="8" t="s">
        <v>1139</v>
      </c>
      <c r="J999" s="1" t="s">
        <v>1243</v>
      </c>
      <c r="K999" s="1" t="s">
        <v>1340</v>
      </c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ht="14.25" customHeight="1">
      <c r="A1000" s="36"/>
      <c r="B1000" s="3"/>
      <c r="C1000" s="3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ht="14.25" customHeight="1">
      <c r="A1001" s="91" t="s">
        <v>1341</v>
      </c>
      <c r="B1001" s="92">
        <v>44628.0</v>
      </c>
      <c r="C1001" s="42" t="s">
        <v>1342</v>
      </c>
      <c r="D1001" s="1" t="s">
        <v>1343</v>
      </c>
      <c r="E1001" s="1" t="s">
        <v>1344</v>
      </c>
      <c r="F1001" s="1" t="s">
        <v>1345</v>
      </c>
      <c r="G1001" s="1" t="s">
        <v>1346</v>
      </c>
      <c r="H1001" s="1" t="s">
        <v>1347</v>
      </c>
      <c r="I1001" s="8" t="s">
        <v>1139</v>
      </c>
      <c r="J1001" s="1" t="s">
        <v>1348</v>
      </c>
      <c r="K1001" s="1" t="s">
        <v>1349</v>
      </c>
      <c r="L1001" s="8"/>
      <c r="M1001" s="8"/>
      <c r="N1001" s="8"/>
      <c r="O1001" s="8"/>
      <c r="P1001" s="8"/>
      <c r="Q1001" s="1" t="s">
        <v>1350</v>
      </c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 ht="14.25" customHeight="1">
      <c r="A1002" s="36"/>
      <c r="B1002" s="3"/>
      <c r="C1002" s="3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 ht="14.25" customHeight="1">
      <c r="A1003" s="91" t="s">
        <v>1351</v>
      </c>
      <c r="B1003" s="92">
        <v>44628.0</v>
      </c>
      <c r="C1003" s="42" t="s">
        <v>1352</v>
      </c>
      <c r="D1003" s="1" t="s">
        <v>1319</v>
      </c>
      <c r="E1003" s="60" t="s">
        <v>1353</v>
      </c>
      <c r="F1003" s="1" t="s">
        <v>707</v>
      </c>
      <c r="G1003" s="1" t="s">
        <v>1346</v>
      </c>
      <c r="H1003" s="1" t="s">
        <v>1323</v>
      </c>
      <c r="I1003" s="8" t="s">
        <v>1139</v>
      </c>
      <c r="J1003" s="1" t="s">
        <v>1243</v>
      </c>
      <c r="K1003" s="1" t="s">
        <v>1354</v>
      </c>
      <c r="L1003" s="1" t="s">
        <v>1243</v>
      </c>
      <c r="M1003" s="1" t="s">
        <v>1327</v>
      </c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 ht="14.25" customHeight="1">
      <c r="A1004" s="26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  <row r="1005" ht="14.25" customHeight="1">
      <c r="A1005" s="91" t="s">
        <v>1355</v>
      </c>
      <c r="B1005" s="93">
        <v>44631.0</v>
      </c>
      <c r="C1005" s="42" t="s">
        <v>1356</v>
      </c>
      <c r="D1005" s="1" t="s">
        <v>1330</v>
      </c>
      <c r="E1005" s="1" t="s">
        <v>1357</v>
      </c>
      <c r="F1005" s="1" t="s">
        <v>1332</v>
      </c>
      <c r="G1005" s="1" t="s">
        <v>1346</v>
      </c>
      <c r="H1005" s="1" t="s">
        <v>1253</v>
      </c>
      <c r="I1005" s="1" t="s">
        <v>1139</v>
      </c>
      <c r="J1005" s="1" t="s">
        <v>1243</v>
      </c>
      <c r="K1005" s="1" t="s">
        <v>1358</v>
      </c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</row>
    <row r="1006" ht="14.25" customHeight="1">
      <c r="A1006" s="36"/>
      <c r="B1006" s="3"/>
      <c r="C1006" s="3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</row>
    <row r="1007" ht="27.75" customHeight="1">
      <c r="A1007" s="91" t="s">
        <v>1359</v>
      </c>
      <c r="B1007" s="93">
        <v>44635.0</v>
      </c>
      <c r="C1007" s="94" t="s">
        <v>1360</v>
      </c>
      <c r="D1007" s="1" t="s">
        <v>804</v>
      </c>
      <c r="E1007" s="60" t="s">
        <v>1361</v>
      </c>
      <c r="F1007" s="1" t="s">
        <v>1362</v>
      </c>
      <c r="G1007" s="1" t="s">
        <v>1346</v>
      </c>
      <c r="H1007" s="1" t="s">
        <v>1253</v>
      </c>
      <c r="I1007" s="1" t="s">
        <v>1139</v>
      </c>
      <c r="J1007" s="1" t="s">
        <v>1243</v>
      </c>
      <c r="K1007" s="95" t="s">
        <v>1363</v>
      </c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</row>
    <row r="1008" ht="14.25" customHeight="1">
      <c r="A1008" s="36"/>
      <c r="B1008" s="3"/>
      <c r="C1008" s="3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</row>
    <row r="1009" ht="14.25" customHeight="1">
      <c r="A1009" s="96" t="s">
        <v>1364</v>
      </c>
      <c r="B1009" s="97">
        <v>44636.0</v>
      </c>
      <c r="C1009" s="98" t="s">
        <v>1365</v>
      </c>
      <c r="D1009" s="1" t="s">
        <v>1330</v>
      </c>
      <c r="E1009" s="1" t="s">
        <v>1366</v>
      </c>
      <c r="F1009" s="1" t="s">
        <v>1367</v>
      </c>
      <c r="G1009" s="1" t="s">
        <v>1368</v>
      </c>
      <c r="H1009" s="1" t="s">
        <v>1369</v>
      </c>
      <c r="I1009" s="1" t="s">
        <v>1370</v>
      </c>
      <c r="J1009" s="78" t="s">
        <v>1371</v>
      </c>
      <c r="K1009" s="1" t="s">
        <v>1372</v>
      </c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</row>
    <row r="1010" ht="14.25" customHeight="1">
      <c r="A1010" s="36"/>
      <c r="B1010" s="3"/>
      <c r="C1010" s="3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</row>
    <row r="1011" ht="14.25" customHeight="1">
      <c r="A1011" s="91" t="s">
        <v>1373</v>
      </c>
      <c r="B1011" s="93">
        <v>44636.0</v>
      </c>
      <c r="C1011" s="42" t="s">
        <v>1374</v>
      </c>
      <c r="D1011" s="1" t="s">
        <v>804</v>
      </c>
      <c r="E1011" s="1" t="s">
        <v>1366</v>
      </c>
      <c r="F1011" s="1" t="s">
        <v>58</v>
      </c>
      <c r="G1011" s="1" t="s">
        <v>1346</v>
      </c>
      <c r="H1011" s="1" t="s">
        <v>1253</v>
      </c>
      <c r="I1011" s="1" t="s">
        <v>1139</v>
      </c>
      <c r="J1011" s="1" t="s">
        <v>1243</v>
      </c>
      <c r="K1011" s="1" t="s">
        <v>1375</v>
      </c>
      <c r="L1011" s="1" t="s">
        <v>1243</v>
      </c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</row>
    <row r="1012" ht="14.25" customHeight="1">
      <c r="A1012" s="36"/>
      <c r="B1012" s="3"/>
      <c r="C1012" s="3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</row>
    <row r="1013" ht="14.25" customHeight="1">
      <c r="A1013" s="99" t="s">
        <v>1376</v>
      </c>
      <c r="B1013" s="100">
        <v>44643.0</v>
      </c>
      <c r="C1013" s="101" t="s">
        <v>1377</v>
      </c>
      <c r="D1013" s="1" t="s">
        <v>1330</v>
      </c>
      <c r="E1013" s="1" t="s">
        <v>1378</v>
      </c>
      <c r="F1013" s="1" t="s">
        <v>58</v>
      </c>
      <c r="G1013" s="1" t="s">
        <v>1346</v>
      </c>
      <c r="H1013" s="1" t="s">
        <v>1379</v>
      </c>
      <c r="I1013" s="8" t="s">
        <v>1139</v>
      </c>
      <c r="J1013" s="102" t="s">
        <v>1243</v>
      </c>
      <c r="K1013" s="102" t="s">
        <v>1380</v>
      </c>
      <c r="L1013" s="8"/>
      <c r="M1013" s="1" t="s">
        <v>1381</v>
      </c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</row>
    <row r="1014" ht="14.25" customHeight="1">
      <c r="A1014" s="91"/>
      <c r="B1014" s="3"/>
      <c r="C1014" s="3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</row>
    <row r="1015" ht="14.25" customHeight="1">
      <c r="A1015" s="91" t="s">
        <v>1382</v>
      </c>
      <c r="B1015" s="92">
        <v>44643.0</v>
      </c>
      <c r="C1015" s="42" t="s">
        <v>1383</v>
      </c>
      <c r="D1015" s="1" t="s">
        <v>1330</v>
      </c>
      <c r="E1015" s="1" t="s">
        <v>1384</v>
      </c>
      <c r="F1015" s="1" t="s">
        <v>58</v>
      </c>
      <c r="G1015" s="1" t="s">
        <v>1346</v>
      </c>
      <c r="H1015" s="1" t="s">
        <v>1253</v>
      </c>
      <c r="I1015" s="8" t="s">
        <v>1139</v>
      </c>
      <c r="J1015" s="1" t="s">
        <v>1243</v>
      </c>
      <c r="K1015" s="1" t="s">
        <v>1385</v>
      </c>
      <c r="L1015" s="1" t="s">
        <v>1243</v>
      </c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</row>
    <row r="1016" ht="14.25" customHeight="1">
      <c r="A1016" s="91"/>
      <c r="B1016" s="3"/>
      <c r="C1016" s="3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</row>
    <row r="1017" ht="14.25" customHeight="1">
      <c r="A1017" s="91" t="s">
        <v>1386</v>
      </c>
      <c r="B1017" s="92">
        <v>44643.0</v>
      </c>
      <c r="C1017" s="42" t="s">
        <v>1383</v>
      </c>
      <c r="D1017" s="1" t="s">
        <v>1330</v>
      </c>
      <c r="E1017" s="1">
        <v>2.6179436E7</v>
      </c>
      <c r="F1017" s="1" t="s">
        <v>58</v>
      </c>
      <c r="G1017" s="1" t="s">
        <v>1346</v>
      </c>
      <c r="H1017" s="1" t="s">
        <v>1253</v>
      </c>
      <c r="I1017" s="1" t="s">
        <v>1139</v>
      </c>
      <c r="J1017" s="1" t="s">
        <v>1243</v>
      </c>
      <c r="K1017" s="1" t="s">
        <v>1385</v>
      </c>
      <c r="L1017" s="1" t="s">
        <v>1243</v>
      </c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</row>
    <row r="1018" ht="14.25" customHeight="1">
      <c r="A1018" s="26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</row>
    <row r="1019" ht="14.25" customHeight="1">
      <c r="A1019" s="91" t="s">
        <v>1387</v>
      </c>
      <c r="B1019" s="92">
        <v>44644.0</v>
      </c>
      <c r="C1019" s="42" t="s">
        <v>1388</v>
      </c>
      <c r="D1019" s="1" t="s">
        <v>1330</v>
      </c>
      <c r="E1019" s="1" t="s">
        <v>1389</v>
      </c>
      <c r="F1019" s="1" t="s">
        <v>1321</v>
      </c>
      <c r="G1019" s="1" t="s">
        <v>1368</v>
      </c>
      <c r="H1019" s="1" t="s">
        <v>1253</v>
      </c>
      <c r="I1019" s="1" t="s">
        <v>1390</v>
      </c>
      <c r="J1019" s="1" t="s">
        <v>1391</v>
      </c>
      <c r="K1019" s="1" t="s">
        <v>1392</v>
      </c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</row>
    <row r="1020" ht="14.25" customHeight="1">
      <c r="A1020" s="26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</row>
    <row r="1021" ht="14.25" customHeight="1">
      <c r="A1021" s="91" t="s">
        <v>1393</v>
      </c>
      <c r="B1021" s="93">
        <v>44651.0</v>
      </c>
      <c r="C1021" s="103" t="s">
        <v>1394</v>
      </c>
      <c r="D1021" s="1" t="s">
        <v>1395</v>
      </c>
      <c r="E1021" s="104" t="s">
        <v>1396</v>
      </c>
      <c r="F1021" s="1" t="s">
        <v>1091</v>
      </c>
      <c r="G1021" s="1" t="s">
        <v>1346</v>
      </c>
      <c r="H1021" s="1" t="s">
        <v>1253</v>
      </c>
      <c r="I1021" s="1" t="s">
        <v>1139</v>
      </c>
      <c r="J1021" s="1" t="s">
        <v>1243</v>
      </c>
      <c r="K1021" s="1" t="s">
        <v>1397</v>
      </c>
      <c r="L1021" s="1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</row>
    <row r="1022" ht="14.25" customHeight="1">
      <c r="A1022" s="36"/>
      <c r="B1022" s="3"/>
      <c r="C1022" s="3"/>
      <c r="D1022" s="1"/>
      <c r="E1022" s="8"/>
      <c r="F1022" s="8"/>
      <c r="G1022" s="1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</row>
    <row r="1023" ht="14.25" customHeight="1">
      <c r="A1023" s="91" t="s">
        <v>1398</v>
      </c>
      <c r="B1023" s="93">
        <v>44651.0</v>
      </c>
      <c r="C1023" s="42" t="s">
        <v>1399</v>
      </c>
      <c r="D1023" s="1" t="s">
        <v>1395</v>
      </c>
      <c r="E1023" s="1" t="s">
        <v>1400</v>
      </c>
      <c r="F1023" s="1" t="s">
        <v>1091</v>
      </c>
      <c r="G1023" s="1" t="s">
        <v>1346</v>
      </c>
      <c r="H1023" s="1" t="s">
        <v>1253</v>
      </c>
      <c r="I1023" s="8" t="s">
        <v>1139</v>
      </c>
      <c r="J1023" s="1" t="s">
        <v>1243</v>
      </c>
      <c r="K1023" s="1" t="s">
        <v>1401</v>
      </c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</row>
    <row r="1024" ht="14.25" customHeight="1">
      <c r="A1024" s="36"/>
      <c r="B1024" s="3"/>
      <c r="C1024" s="3"/>
      <c r="D1024" s="1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</row>
    <row r="1025" ht="14.25" customHeight="1">
      <c r="A1025" s="91" t="s">
        <v>1402</v>
      </c>
      <c r="B1025" s="93">
        <v>44651.0</v>
      </c>
      <c r="C1025" s="42" t="s">
        <v>1403</v>
      </c>
      <c r="D1025" s="1" t="s">
        <v>1395</v>
      </c>
      <c r="E1025" s="105" t="s">
        <v>1404</v>
      </c>
      <c r="F1025" s="1" t="s">
        <v>1405</v>
      </c>
      <c r="G1025" s="1" t="s">
        <v>1346</v>
      </c>
      <c r="H1025" s="1" t="s">
        <v>1347</v>
      </c>
      <c r="I1025" s="8" t="s">
        <v>1139</v>
      </c>
      <c r="J1025" s="78" t="s">
        <v>1371</v>
      </c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</row>
    <row r="1026" ht="14.25" customHeight="1">
      <c r="A1026" s="26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</row>
    <row r="1027" ht="14.25" customHeight="1">
      <c r="A1027" s="96" t="s">
        <v>1406</v>
      </c>
      <c r="B1027" s="97">
        <v>44657.0</v>
      </c>
      <c r="C1027" s="98" t="s">
        <v>1407</v>
      </c>
      <c r="D1027" s="1" t="s">
        <v>1330</v>
      </c>
      <c r="E1027" s="1" t="s">
        <v>1408</v>
      </c>
      <c r="F1027" s="1" t="s">
        <v>1091</v>
      </c>
      <c r="G1027" s="1" t="s">
        <v>1368</v>
      </c>
      <c r="H1027" s="1" t="s">
        <v>1409</v>
      </c>
      <c r="I1027" s="8" t="s">
        <v>1139</v>
      </c>
      <c r="J1027" s="78" t="s">
        <v>1243</v>
      </c>
      <c r="K1027" s="78" t="s">
        <v>1410</v>
      </c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</row>
    <row r="1028" ht="14.25" customHeight="1">
      <c r="A1028" s="91"/>
      <c r="B1028" s="3"/>
      <c r="C1028" s="3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</row>
    <row r="1029" ht="14.25" customHeight="1">
      <c r="A1029" s="91" t="s">
        <v>1411</v>
      </c>
      <c r="B1029" s="93">
        <v>44658.0</v>
      </c>
      <c r="C1029" s="42" t="s">
        <v>1412</v>
      </c>
      <c r="D1029" s="1" t="s">
        <v>1330</v>
      </c>
      <c r="E1029" s="8" t="s">
        <v>41</v>
      </c>
      <c r="F1029" s="1" t="s">
        <v>1091</v>
      </c>
      <c r="G1029" s="1" t="s">
        <v>1413</v>
      </c>
      <c r="H1029" s="1" t="s">
        <v>1347</v>
      </c>
      <c r="I1029" s="1" t="s">
        <v>1139</v>
      </c>
      <c r="J1029" s="1" t="s">
        <v>1243</v>
      </c>
      <c r="K1029" s="1" t="s">
        <v>1414</v>
      </c>
      <c r="L1029" s="1" t="s">
        <v>1243</v>
      </c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</row>
    <row r="1030" ht="14.25" customHeight="1">
      <c r="A1030" s="26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</row>
    <row r="1031" ht="14.25" customHeight="1">
      <c r="A1031" s="91" t="s">
        <v>1415</v>
      </c>
      <c r="B1031" s="93">
        <v>44660.0</v>
      </c>
      <c r="C1031" s="42" t="s">
        <v>1416</v>
      </c>
      <c r="D1031" s="1" t="s">
        <v>1417</v>
      </c>
      <c r="E1031" s="8"/>
      <c r="F1031" s="1" t="s">
        <v>1091</v>
      </c>
      <c r="G1031" s="1" t="s">
        <v>1346</v>
      </c>
      <c r="H1031" s="1" t="s">
        <v>1347</v>
      </c>
      <c r="I1031" s="1" t="s">
        <v>1139</v>
      </c>
      <c r="J1031" s="1" t="s">
        <v>1243</v>
      </c>
      <c r="K1031" s="1" t="s">
        <v>1397</v>
      </c>
      <c r="L1031" s="1" t="s">
        <v>1243</v>
      </c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</row>
    <row r="1032" ht="14.25" customHeight="1">
      <c r="A1032" s="26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</row>
    <row r="1033" ht="14.25" customHeight="1">
      <c r="A1033" s="91" t="s">
        <v>1418</v>
      </c>
      <c r="B1033" s="93">
        <v>44663.0</v>
      </c>
      <c r="C1033" s="42" t="s">
        <v>1419</v>
      </c>
      <c r="D1033" s="106" t="s">
        <v>1420</v>
      </c>
      <c r="E1033" s="1" t="s">
        <v>1421</v>
      </c>
      <c r="F1033" s="1" t="s">
        <v>1091</v>
      </c>
      <c r="G1033" s="1" t="s">
        <v>1346</v>
      </c>
      <c r="H1033" s="1" t="s">
        <v>1253</v>
      </c>
      <c r="I1033" s="1" t="s">
        <v>1139</v>
      </c>
      <c r="J1033" s="1" t="s">
        <v>1300</v>
      </c>
      <c r="K1033" s="1" t="s">
        <v>763</v>
      </c>
      <c r="L1033" s="1" t="s">
        <v>1243</v>
      </c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</row>
    <row r="1034" ht="14.25" customHeight="1">
      <c r="A1034" s="36"/>
      <c r="B1034" s="3"/>
      <c r="C1034" s="3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</row>
    <row r="1035" ht="14.25" customHeight="1">
      <c r="A1035" s="91" t="s">
        <v>1422</v>
      </c>
      <c r="B1035" s="93">
        <v>44663.0</v>
      </c>
      <c r="C1035" s="82" t="s">
        <v>1423</v>
      </c>
      <c r="D1035" s="1" t="s">
        <v>1420</v>
      </c>
      <c r="E1035" s="1" t="s">
        <v>1424</v>
      </c>
      <c r="F1035" s="1" t="s">
        <v>1091</v>
      </c>
      <c r="G1035" s="1" t="s">
        <v>1346</v>
      </c>
      <c r="H1035" s="1" t="s">
        <v>1425</v>
      </c>
      <c r="I1035" s="1" t="s">
        <v>1139</v>
      </c>
      <c r="J1035" s="1" t="s">
        <v>1243</v>
      </c>
      <c r="K1035" s="1" t="s">
        <v>1426</v>
      </c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</row>
    <row r="1036" ht="14.25" customHeight="1">
      <c r="A1036" s="36"/>
      <c r="B1036" s="3"/>
      <c r="C1036" s="3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</row>
    <row r="1037" ht="14.25" customHeight="1">
      <c r="A1037" s="96" t="s">
        <v>1427</v>
      </c>
      <c r="B1037" s="97">
        <v>44665.0</v>
      </c>
      <c r="C1037" s="98" t="s">
        <v>1428</v>
      </c>
      <c r="D1037" s="1" t="s">
        <v>1330</v>
      </c>
      <c r="E1037" s="60" t="s">
        <v>1429</v>
      </c>
      <c r="F1037" s="1" t="s">
        <v>1091</v>
      </c>
      <c r="G1037" s="1" t="s">
        <v>1346</v>
      </c>
      <c r="H1037" s="1" t="s">
        <v>1430</v>
      </c>
      <c r="I1037" s="1" t="s">
        <v>1139</v>
      </c>
      <c r="J1037" s="78" t="s">
        <v>1371</v>
      </c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</row>
    <row r="1038" ht="14.25" customHeight="1">
      <c r="A1038" s="36"/>
      <c r="B1038" s="3"/>
      <c r="C1038" s="3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</row>
    <row r="1039" ht="14.25" customHeight="1">
      <c r="A1039" s="91" t="s">
        <v>1431</v>
      </c>
      <c r="B1039" s="93">
        <v>44672.0</v>
      </c>
      <c r="C1039" s="42" t="s">
        <v>1432</v>
      </c>
      <c r="D1039" s="1" t="s">
        <v>1330</v>
      </c>
      <c r="E1039" s="1" t="s">
        <v>1433</v>
      </c>
      <c r="F1039" s="1" t="s">
        <v>1321</v>
      </c>
      <c r="G1039" s="1" t="s">
        <v>1368</v>
      </c>
      <c r="H1039" s="1" t="s">
        <v>1434</v>
      </c>
      <c r="I1039" s="1" t="s">
        <v>1139</v>
      </c>
      <c r="J1039" s="1" t="s">
        <v>1435</v>
      </c>
      <c r="K1039" s="1" t="s">
        <v>1436</v>
      </c>
      <c r="L1039" s="1" t="s">
        <v>1243</v>
      </c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</row>
    <row r="1040" ht="14.25" customHeight="1">
      <c r="A1040" s="36"/>
      <c r="B1040" s="3"/>
      <c r="C1040" s="3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</row>
    <row r="1041" ht="14.25" customHeight="1">
      <c r="A1041" s="91" t="s">
        <v>1437</v>
      </c>
      <c r="B1041" s="93">
        <v>44672.0</v>
      </c>
      <c r="C1041" s="42" t="s">
        <v>1438</v>
      </c>
      <c r="D1041" s="1" t="s">
        <v>1330</v>
      </c>
      <c r="E1041" s="60" t="s">
        <v>1439</v>
      </c>
      <c r="F1041" s="1" t="s">
        <v>1091</v>
      </c>
      <c r="G1041" s="1" t="s">
        <v>1346</v>
      </c>
      <c r="H1041" s="1" t="s">
        <v>1253</v>
      </c>
      <c r="I1041" s="1" t="s">
        <v>1139</v>
      </c>
      <c r="J1041" s="1" t="s">
        <v>1243</v>
      </c>
      <c r="K1041" s="1" t="s">
        <v>1426</v>
      </c>
      <c r="L1041" s="1" t="s">
        <v>1243</v>
      </c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</row>
    <row r="1042" ht="14.25" customHeight="1">
      <c r="A1042" s="36"/>
      <c r="B1042" s="3"/>
      <c r="C1042" s="3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</row>
    <row r="1043" ht="14.25" customHeight="1">
      <c r="A1043" s="91" t="s">
        <v>1440</v>
      </c>
      <c r="B1043" s="93">
        <v>44677.0</v>
      </c>
      <c r="C1043" s="42" t="s">
        <v>1441</v>
      </c>
      <c r="D1043" s="1" t="s">
        <v>1330</v>
      </c>
      <c r="E1043" s="1" t="s">
        <v>1442</v>
      </c>
      <c r="F1043" s="1" t="s">
        <v>1443</v>
      </c>
      <c r="G1043" s="1" t="s">
        <v>1346</v>
      </c>
      <c r="H1043" s="1" t="s">
        <v>1430</v>
      </c>
      <c r="I1043" s="1" t="s">
        <v>1139</v>
      </c>
      <c r="J1043" s="1" t="s">
        <v>1243</v>
      </c>
      <c r="K1043" s="1" t="s">
        <v>1444</v>
      </c>
      <c r="L1043" s="1" t="s">
        <v>1243</v>
      </c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</row>
    <row r="1044" ht="14.25" customHeight="1">
      <c r="A1044" s="36"/>
      <c r="B1044" s="3"/>
      <c r="C1044" s="3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</row>
    <row r="1045" ht="14.25" customHeight="1">
      <c r="A1045" s="91" t="s">
        <v>1445</v>
      </c>
      <c r="B1045" s="93">
        <v>44677.0</v>
      </c>
      <c r="C1045" s="82" t="s">
        <v>1446</v>
      </c>
      <c r="D1045" s="1" t="s">
        <v>1330</v>
      </c>
      <c r="E1045" s="1" t="s">
        <v>1447</v>
      </c>
      <c r="F1045" s="1" t="s">
        <v>1448</v>
      </c>
      <c r="G1045" s="1" t="s">
        <v>1346</v>
      </c>
      <c r="H1045" s="1" t="s">
        <v>1430</v>
      </c>
      <c r="I1045" s="1" t="s">
        <v>1139</v>
      </c>
      <c r="J1045" s="1" t="s">
        <v>1300</v>
      </c>
      <c r="K1045" s="1" t="s">
        <v>1449</v>
      </c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</row>
    <row r="1046" ht="14.25" customHeight="1">
      <c r="A1046" s="36"/>
      <c r="B1046" s="3"/>
      <c r="C1046" s="3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</row>
    <row r="1047" ht="13.5" customHeight="1">
      <c r="A1047" s="91" t="s">
        <v>1450</v>
      </c>
      <c r="B1047" s="93">
        <v>44679.0</v>
      </c>
      <c r="C1047" s="42" t="s">
        <v>1451</v>
      </c>
      <c r="D1047" s="1" t="s">
        <v>1452</v>
      </c>
      <c r="E1047" s="1" t="s">
        <v>1453</v>
      </c>
      <c r="F1047" s="1" t="s">
        <v>1091</v>
      </c>
      <c r="G1047" s="1" t="s">
        <v>1454</v>
      </c>
      <c r="H1047" s="1" t="s">
        <v>1455</v>
      </c>
      <c r="I1047" s="1" t="s">
        <v>1456</v>
      </c>
      <c r="J1047" s="1" t="s">
        <v>1300</v>
      </c>
      <c r="K1047" s="107" t="s">
        <v>1457</v>
      </c>
      <c r="L1047" s="1" t="s">
        <v>1243</v>
      </c>
      <c r="M1047" s="8"/>
      <c r="N1047" s="8"/>
      <c r="O1047" s="8"/>
      <c r="P1047" s="8"/>
      <c r="Q1047" s="108" t="s">
        <v>1458</v>
      </c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</row>
    <row r="1048" ht="14.25" customHeight="1">
      <c r="A1048" s="26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</row>
    <row r="1049" ht="14.25" customHeight="1">
      <c r="A1049" s="91" t="s">
        <v>1459</v>
      </c>
      <c r="B1049" s="93">
        <v>44683.0</v>
      </c>
      <c r="C1049" s="42" t="s">
        <v>1460</v>
      </c>
      <c r="D1049" s="1" t="s">
        <v>1330</v>
      </c>
      <c r="E1049" s="1" t="s">
        <v>1461</v>
      </c>
      <c r="F1049" s="1" t="s">
        <v>1091</v>
      </c>
      <c r="G1049" s="1" t="s">
        <v>1346</v>
      </c>
      <c r="H1049" s="1" t="s">
        <v>1253</v>
      </c>
      <c r="I1049" s="1" t="s">
        <v>1139</v>
      </c>
      <c r="J1049" s="1" t="s">
        <v>1243</v>
      </c>
      <c r="K1049" s="1" t="s">
        <v>1462</v>
      </c>
      <c r="L1049" s="1" t="s">
        <v>1243</v>
      </c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</row>
    <row r="1050" ht="14.25" customHeight="1">
      <c r="A1050" s="26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</row>
    <row r="1051" ht="14.25" customHeight="1">
      <c r="A1051" s="91" t="s">
        <v>1463</v>
      </c>
      <c r="B1051" s="93">
        <v>44687.0</v>
      </c>
      <c r="C1051" s="42" t="s">
        <v>1464</v>
      </c>
      <c r="D1051" s="1" t="s">
        <v>1330</v>
      </c>
      <c r="E1051" s="109" t="s">
        <v>1465</v>
      </c>
      <c r="F1051" s="1" t="s">
        <v>1091</v>
      </c>
      <c r="G1051" s="1" t="s">
        <v>1466</v>
      </c>
      <c r="H1051" s="1" t="s">
        <v>1253</v>
      </c>
      <c r="I1051" s="1" t="s">
        <v>1467</v>
      </c>
      <c r="J1051" s="1" t="s">
        <v>1243</v>
      </c>
      <c r="K1051" s="1" t="s">
        <v>1468</v>
      </c>
      <c r="L1051" s="1" t="s">
        <v>1243</v>
      </c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</row>
    <row r="1052" ht="14.25" customHeight="1">
      <c r="A1052" s="36"/>
      <c r="B1052" s="3"/>
      <c r="C1052" s="3"/>
      <c r="D1052" s="8"/>
      <c r="E1052" s="8"/>
      <c r="F1052" s="1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</row>
    <row r="1053" ht="14.25" customHeight="1">
      <c r="A1053" s="91" t="s">
        <v>1469</v>
      </c>
      <c r="B1053" s="93">
        <v>44687.0</v>
      </c>
      <c r="C1053" s="42" t="s">
        <v>1470</v>
      </c>
      <c r="D1053" s="1" t="s">
        <v>1330</v>
      </c>
      <c r="E1053" s="109" t="s">
        <v>1471</v>
      </c>
      <c r="F1053" s="1" t="s">
        <v>822</v>
      </c>
      <c r="G1053" s="1" t="s">
        <v>1143</v>
      </c>
      <c r="H1053" s="1" t="s">
        <v>1253</v>
      </c>
      <c r="I1053" s="1" t="s">
        <v>1467</v>
      </c>
      <c r="J1053" s="1" t="s">
        <v>1243</v>
      </c>
      <c r="K1053" s="1" t="s">
        <v>1472</v>
      </c>
      <c r="L1053" s="1" t="s">
        <v>1243</v>
      </c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</row>
    <row r="1054" ht="14.25" customHeight="1">
      <c r="A1054" s="26"/>
      <c r="B1054" s="3"/>
      <c r="C1054" s="3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</row>
    <row r="1055" ht="14.25" customHeight="1">
      <c r="A1055" s="91" t="s">
        <v>1473</v>
      </c>
      <c r="B1055" s="93">
        <v>44687.0</v>
      </c>
      <c r="C1055" s="42" t="s">
        <v>1474</v>
      </c>
      <c r="D1055" s="1" t="s">
        <v>1475</v>
      </c>
      <c r="E1055" s="1" t="s">
        <v>1476</v>
      </c>
      <c r="F1055" s="1" t="s">
        <v>1477</v>
      </c>
      <c r="G1055" s="1" t="s">
        <v>1478</v>
      </c>
      <c r="H1055" s="1" t="s">
        <v>1253</v>
      </c>
      <c r="I1055" s="1" t="s">
        <v>1467</v>
      </c>
      <c r="J1055" s="1" t="s">
        <v>1243</v>
      </c>
      <c r="K1055" s="1" t="s">
        <v>1479</v>
      </c>
      <c r="L1055" s="1" t="s">
        <v>1243</v>
      </c>
      <c r="M1055" s="1" t="s">
        <v>1480</v>
      </c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</row>
    <row r="1056" ht="14.25" customHeight="1">
      <c r="A1056" s="26"/>
      <c r="B1056" s="8"/>
      <c r="C1056" s="1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</row>
    <row r="1057" ht="14.25" customHeight="1">
      <c r="A1057" s="96" t="s">
        <v>1481</v>
      </c>
      <c r="B1057" s="97">
        <v>44691.0</v>
      </c>
      <c r="C1057" s="98" t="s">
        <v>1482</v>
      </c>
      <c r="D1057" s="1" t="s">
        <v>1483</v>
      </c>
      <c r="E1057" s="8"/>
      <c r="F1057" s="1" t="s">
        <v>1484</v>
      </c>
      <c r="G1057" s="1" t="s">
        <v>1466</v>
      </c>
      <c r="H1057" s="17" t="s">
        <v>1485</v>
      </c>
      <c r="I1057" s="1" t="s">
        <v>1467</v>
      </c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</row>
    <row r="1058" ht="14.25" customHeight="1">
      <c r="A1058" s="26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</row>
    <row r="1059" ht="14.25" customHeight="1">
      <c r="A1059" s="96" t="s">
        <v>1486</v>
      </c>
      <c r="B1059" s="97">
        <v>44691.0</v>
      </c>
      <c r="C1059" s="98" t="s">
        <v>1487</v>
      </c>
      <c r="D1059" s="1" t="s">
        <v>1483</v>
      </c>
      <c r="E1059" s="8"/>
      <c r="F1059" s="1" t="s">
        <v>1488</v>
      </c>
      <c r="G1059" s="1" t="s">
        <v>1466</v>
      </c>
      <c r="H1059" s="17" t="s">
        <v>1485</v>
      </c>
      <c r="I1059" s="1" t="s">
        <v>1467</v>
      </c>
      <c r="J1059" s="1" t="s">
        <v>1243</v>
      </c>
      <c r="K1059" s="78" t="s">
        <v>1371</v>
      </c>
      <c r="L1059" s="8"/>
      <c r="M1059" s="8"/>
      <c r="N1059" s="8"/>
      <c r="O1059" s="8"/>
      <c r="P1059" s="8"/>
      <c r="Q1059" s="1" t="s">
        <v>1489</v>
      </c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</row>
    <row r="1060" ht="14.25" customHeight="1">
      <c r="A1060" s="26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</row>
    <row r="1061" ht="14.25" customHeight="1">
      <c r="A1061" s="96" t="s">
        <v>1490</v>
      </c>
      <c r="B1061" s="97">
        <v>44691.0</v>
      </c>
      <c r="C1061" s="110" t="s">
        <v>1491</v>
      </c>
      <c r="D1061" s="1" t="s">
        <v>1483</v>
      </c>
      <c r="E1061" s="8"/>
      <c r="F1061" s="1" t="s">
        <v>58</v>
      </c>
      <c r="G1061" s="1" t="s">
        <v>1466</v>
      </c>
      <c r="H1061" s="17" t="s">
        <v>1485</v>
      </c>
      <c r="I1061" s="1" t="s">
        <v>1467</v>
      </c>
      <c r="J1061" s="8"/>
      <c r="K1061" s="78" t="s">
        <v>1492</v>
      </c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</row>
    <row r="1062" ht="14.25" customHeight="1">
      <c r="A1062" s="26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</row>
    <row r="1063" ht="14.25" customHeight="1">
      <c r="A1063" s="91" t="s">
        <v>1493</v>
      </c>
      <c r="B1063" s="93">
        <v>44691.0</v>
      </c>
      <c r="C1063" s="82" t="s">
        <v>1446</v>
      </c>
      <c r="D1063" s="1" t="s">
        <v>1330</v>
      </c>
      <c r="E1063" s="1" t="s">
        <v>1494</v>
      </c>
      <c r="F1063" s="1" t="s">
        <v>1495</v>
      </c>
      <c r="G1063" s="1" t="s">
        <v>1333</v>
      </c>
      <c r="H1063" s="1" t="s">
        <v>1347</v>
      </c>
      <c r="I1063" s="1" t="s">
        <v>1467</v>
      </c>
      <c r="J1063" s="1" t="s">
        <v>1243</v>
      </c>
      <c r="K1063" s="1" t="s">
        <v>763</v>
      </c>
      <c r="L1063" s="1" t="s">
        <v>1243</v>
      </c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</row>
    <row r="1064" ht="14.25" customHeight="1">
      <c r="A1064" s="26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</row>
    <row r="1065" ht="14.25" customHeight="1">
      <c r="A1065" s="91" t="s">
        <v>1496</v>
      </c>
      <c r="B1065" s="93">
        <v>44691.0</v>
      </c>
      <c r="C1065" s="42" t="s">
        <v>1497</v>
      </c>
      <c r="D1065" s="1" t="s">
        <v>1483</v>
      </c>
      <c r="E1065" s="8"/>
      <c r="F1065" s="1" t="s">
        <v>1498</v>
      </c>
      <c r="G1065" s="1" t="s">
        <v>894</v>
      </c>
      <c r="H1065" s="1" t="s">
        <v>1499</v>
      </c>
      <c r="I1065" s="1" t="s">
        <v>1310</v>
      </c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</row>
    <row r="1066" ht="14.25" customHeight="1">
      <c r="A1066" s="36"/>
      <c r="B1066" s="3"/>
      <c r="C1066" s="3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</row>
    <row r="1067" ht="14.25" customHeight="1">
      <c r="A1067" s="96" t="s">
        <v>1500</v>
      </c>
      <c r="B1067" s="97">
        <v>44692.0</v>
      </c>
      <c r="C1067" s="98" t="s">
        <v>1501</v>
      </c>
      <c r="D1067" s="1" t="s">
        <v>1417</v>
      </c>
      <c r="E1067" s="111" t="s">
        <v>1502</v>
      </c>
      <c r="F1067" s="1" t="s">
        <v>58</v>
      </c>
      <c r="G1067" s="1" t="s">
        <v>1503</v>
      </c>
      <c r="H1067" s="1" t="s">
        <v>1504</v>
      </c>
      <c r="I1067" s="1" t="s">
        <v>1310</v>
      </c>
      <c r="J1067" s="78" t="s">
        <v>1371</v>
      </c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</row>
    <row r="1068" ht="14.25" customHeight="1">
      <c r="A1068" s="79"/>
      <c r="B1068" s="81"/>
      <c r="C1068" s="81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</row>
    <row r="1069" ht="14.25" customHeight="1">
      <c r="A1069" s="96" t="s">
        <v>1505</v>
      </c>
      <c r="B1069" s="97">
        <v>44692.0</v>
      </c>
      <c r="C1069" s="98" t="s">
        <v>1506</v>
      </c>
      <c r="D1069" s="1" t="s">
        <v>1330</v>
      </c>
      <c r="E1069" s="1" t="s">
        <v>1507</v>
      </c>
      <c r="F1069" s="1" t="s">
        <v>1508</v>
      </c>
      <c r="G1069" s="1" t="s">
        <v>1466</v>
      </c>
      <c r="H1069" s="1" t="s">
        <v>1509</v>
      </c>
      <c r="I1069" s="1" t="s">
        <v>1510</v>
      </c>
      <c r="J1069" s="78" t="s">
        <v>1371</v>
      </c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</row>
    <row r="1070" ht="14.25" customHeight="1">
      <c r="A1070" s="26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</row>
    <row r="1071" ht="14.25" customHeight="1">
      <c r="A1071" s="96" t="s">
        <v>1511</v>
      </c>
      <c r="B1071" s="97">
        <v>44693.0</v>
      </c>
      <c r="C1071" s="98" t="s">
        <v>1512</v>
      </c>
      <c r="D1071" s="1" t="s">
        <v>1330</v>
      </c>
      <c r="E1071" s="1" t="s">
        <v>1513</v>
      </c>
      <c r="F1071" s="1" t="s">
        <v>1495</v>
      </c>
      <c r="G1071" s="1" t="s">
        <v>1143</v>
      </c>
      <c r="H1071" s="1" t="s">
        <v>1347</v>
      </c>
      <c r="I1071" s="1" t="s">
        <v>1310</v>
      </c>
      <c r="J1071" s="1" t="s">
        <v>1243</v>
      </c>
      <c r="K1071" s="78" t="s">
        <v>1371</v>
      </c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</row>
    <row r="1072" ht="14.25" customHeight="1">
      <c r="A1072" s="26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</row>
    <row r="1073" ht="14.25" customHeight="1">
      <c r="A1073" s="91" t="s">
        <v>1514</v>
      </c>
      <c r="B1073" s="93">
        <v>44694.0</v>
      </c>
      <c r="C1073" s="82" t="s">
        <v>1515</v>
      </c>
      <c r="D1073" s="106" t="s">
        <v>1420</v>
      </c>
      <c r="E1073" s="17" t="s">
        <v>1516</v>
      </c>
      <c r="F1073" s="1" t="s">
        <v>1517</v>
      </c>
      <c r="G1073" s="1" t="s">
        <v>1518</v>
      </c>
      <c r="H1073" s="1" t="s">
        <v>1347</v>
      </c>
      <c r="I1073" s="1" t="s">
        <v>1467</v>
      </c>
      <c r="J1073" s="1" t="s">
        <v>1243</v>
      </c>
      <c r="K1073" s="1" t="s">
        <v>1397</v>
      </c>
      <c r="L1073" s="1" t="s">
        <v>1243</v>
      </c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</row>
    <row r="1074" ht="14.25" customHeight="1">
      <c r="A1074" s="26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</row>
    <row r="1075" ht="14.25" customHeight="1">
      <c r="A1075" s="91" t="s">
        <v>1519</v>
      </c>
      <c r="B1075" s="93">
        <v>44698.0</v>
      </c>
      <c r="C1075" s="42" t="s">
        <v>1520</v>
      </c>
      <c r="D1075" s="1" t="s">
        <v>1330</v>
      </c>
      <c r="E1075" s="1" t="s">
        <v>1521</v>
      </c>
      <c r="F1075" s="1" t="s">
        <v>430</v>
      </c>
      <c r="G1075" s="1" t="s">
        <v>1503</v>
      </c>
      <c r="H1075" s="1" t="s">
        <v>1504</v>
      </c>
      <c r="I1075" s="1" t="s">
        <v>1310</v>
      </c>
      <c r="J1075" s="1" t="s">
        <v>1243</v>
      </c>
      <c r="K1075" s="1" t="s">
        <v>1522</v>
      </c>
      <c r="L1075" s="1" t="s">
        <v>1243</v>
      </c>
      <c r="M1075" s="1" t="s">
        <v>1327</v>
      </c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</row>
    <row r="1076" ht="14.25" customHeight="1">
      <c r="A1076" s="36"/>
      <c r="B1076" s="3"/>
      <c r="C1076" s="3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</row>
    <row r="1077" ht="14.25" customHeight="1">
      <c r="A1077" s="96" t="s">
        <v>1523</v>
      </c>
      <c r="B1077" s="97">
        <v>44698.0</v>
      </c>
      <c r="C1077" s="98" t="s">
        <v>1524</v>
      </c>
      <c r="D1077" s="1" t="s">
        <v>1330</v>
      </c>
      <c r="E1077" s="1" t="s">
        <v>1525</v>
      </c>
      <c r="F1077" s="1" t="s">
        <v>1495</v>
      </c>
      <c r="G1077" s="1" t="s">
        <v>1503</v>
      </c>
      <c r="H1077" s="1" t="s">
        <v>1347</v>
      </c>
      <c r="I1077" s="1" t="s">
        <v>1310</v>
      </c>
      <c r="J1077" s="1" t="s">
        <v>1243</v>
      </c>
      <c r="K1077" s="1" t="s">
        <v>1526</v>
      </c>
      <c r="L1077" s="8"/>
      <c r="M1077" s="8"/>
      <c r="N1077" s="8"/>
      <c r="O1077" s="8"/>
      <c r="P1077" s="8"/>
      <c r="Q1077" s="1" t="s">
        <v>1527</v>
      </c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</row>
    <row r="1078" ht="14.25" customHeight="1">
      <c r="A1078" s="36"/>
      <c r="B1078" s="3"/>
      <c r="C1078" s="3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</row>
    <row r="1079" ht="14.25" customHeight="1">
      <c r="A1079" s="96" t="s">
        <v>1528</v>
      </c>
      <c r="B1079" s="97">
        <v>44698.0</v>
      </c>
      <c r="C1079" s="98" t="s">
        <v>1529</v>
      </c>
      <c r="D1079" s="1" t="s">
        <v>1475</v>
      </c>
      <c r="E1079" s="1" t="s">
        <v>1530</v>
      </c>
      <c r="F1079" s="1" t="s">
        <v>1517</v>
      </c>
      <c r="G1079" s="1" t="s">
        <v>1531</v>
      </c>
      <c r="H1079" s="1" t="s">
        <v>1347</v>
      </c>
      <c r="I1079" s="1" t="s">
        <v>1310</v>
      </c>
      <c r="J1079" s="78" t="s">
        <v>1532</v>
      </c>
      <c r="K1079" s="8"/>
      <c r="L1079" s="8"/>
      <c r="M1079" s="8"/>
      <c r="N1079" s="8"/>
      <c r="O1079" s="8"/>
      <c r="P1079" s="8"/>
      <c r="Q1079" s="1" t="s">
        <v>1533</v>
      </c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</row>
    <row r="1080" ht="14.25" customHeight="1">
      <c r="A1080" s="26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</row>
    <row r="1081" ht="14.25" customHeight="1">
      <c r="A1081" s="91" t="s">
        <v>1534</v>
      </c>
      <c r="B1081" s="93">
        <v>44698.0</v>
      </c>
      <c r="C1081" s="42" t="s">
        <v>239</v>
      </c>
      <c r="D1081" s="1" t="s">
        <v>1330</v>
      </c>
      <c r="E1081" s="1" t="s">
        <v>1535</v>
      </c>
      <c r="F1081" s="1" t="s">
        <v>386</v>
      </c>
      <c r="G1081" s="1" t="s">
        <v>1466</v>
      </c>
      <c r="H1081" s="1" t="s">
        <v>1536</v>
      </c>
      <c r="I1081" s="1" t="s">
        <v>1510</v>
      </c>
      <c r="J1081" s="17" t="s">
        <v>1243</v>
      </c>
      <c r="K1081" s="1" t="s">
        <v>1537</v>
      </c>
      <c r="L1081" s="1" t="s">
        <v>1243</v>
      </c>
      <c r="M1081" s="1"/>
      <c r="N1081" s="8"/>
      <c r="O1081" s="8"/>
      <c r="P1081" s="8"/>
      <c r="Q1081" s="1" t="s">
        <v>1538</v>
      </c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</row>
    <row r="1082" ht="14.25" customHeight="1">
      <c r="A1082" s="36"/>
      <c r="B1082" s="3"/>
      <c r="C1082" s="3"/>
      <c r="D1082" s="8"/>
      <c r="E1082" s="8"/>
      <c r="F1082" s="8"/>
      <c r="G1082" s="8"/>
      <c r="H1082" s="8"/>
      <c r="I1082" s="8"/>
      <c r="J1082" s="8"/>
      <c r="K1082" s="8"/>
      <c r="L1082" s="8"/>
      <c r="M1082" s="1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</row>
    <row r="1083" ht="14.25" customHeight="1">
      <c r="A1083" s="91" t="s">
        <v>1539</v>
      </c>
      <c r="B1083" s="93">
        <v>44698.0</v>
      </c>
      <c r="C1083" s="42" t="s">
        <v>117</v>
      </c>
      <c r="D1083" s="1" t="s">
        <v>1330</v>
      </c>
      <c r="E1083" s="1" t="s">
        <v>1540</v>
      </c>
      <c r="F1083" s="1" t="s">
        <v>1541</v>
      </c>
      <c r="G1083" s="1" t="s">
        <v>1466</v>
      </c>
      <c r="H1083" s="1" t="s">
        <v>1542</v>
      </c>
      <c r="I1083" s="1" t="s">
        <v>1543</v>
      </c>
      <c r="J1083" s="1" t="s">
        <v>1243</v>
      </c>
      <c r="K1083" s="1" t="s">
        <v>1544</v>
      </c>
      <c r="L1083" s="1" t="s">
        <v>1243</v>
      </c>
      <c r="M1083" s="1" t="s">
        <v>1327</v>
      </c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</row>
    <row r="1084" ht="14.25" customHeight="1">
      <c r="A1084" s="36"/>
      <c r="B1084" s="3"/>
      <c r="C1084" s="3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</row>
    <row r="1085" ht="14.25" customHeight="1">
      <c r="A1085" s="91" t="s">
        <v>1545</v>
      </c>
      <c r="B1085" s="93">
        <v>44701.0</v>
      </c>
      <c r="C1085" s="112" t="s">
        <v>1165</v>
      </c>
      <c r="D1085" s="1" t="s">
        <v>1330</v>
      </c>
      <c r="E1085" s="109" t="s">
        <v>1546</v>
      </c>
      <c r="F1085" s="1" t="s">
        <v>1495</v>
      </c>
      <c r="G1085" s="1" t="s">
        <v>1503</v>
      </c>
      <c r="H1085" s="1" t="s">
        <v>1347</v>
      </c>
      <c r="I1085" s="1" t="s">
        <v>1467</v>
      </c>
      <c r="J1085" s="1" t="s">
        <v>1243</v>
      </c>
      <c r="K1085" s="1" t="s">
        <v>1547</v>
      </c>
      <c r="L1085" s="1" t="s">
        <v>1267</v>
      </c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</row>
    <row r="1086" ht="14.25" customHeight="1">
      <c r="A1086" s="26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</row>
    <row r="1087" ht="14.25" customHeight="1">
      <c r="A1087" s="96" t="s">
        <v>1548</v>
      </c>
      <c r="B1087" s="97">
        <v>44701.0</v>
      </c>
      <c r="C1087" s="113" t="s">
        <v>428</v>
      </c>
      <c r="D1087" s="114" t="s">
        <v>1330</v>
      </c>
      <c r="E1087" s="109" t="s">
        <v>1549</v>
      </c>
      <c r="F1087" s="1" t="s">
        <v>1550</v>
      </c>
      <c r="G1087" s="1" t="s">
        <v>1551</v>
      </c>
      <c r="H1087" s="1" t="s">
        <v>1504</v>
      </c>
      <c r="I1087" s="1" t="s">
        <v>1543</v>
      </c>
      <c r="J1087" s="78" t="s">
        <v>1250</v>
      </c>
      <c r="K1087" s="1"/>
      <c r="L1087" s="1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</row>
    <row r="1088" ht="14.25" customHeight="1">
      <c r="A1088" s="26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</row>
    <row r="1089" ht="14.25" customHeight="1">
      <c r="A1089" s="91" t="s">
        <v>1552</v>
      </c>
      <c r="B1089" s="93">
        <v>44704.0</v>
      </c>
      <c r="C1089" s="42" t="s">
        <v>1553</v>
      </c>
      <c r="D1089" s="1" t="s">
        <v>1330</v>
      </c>
      <c r="E1089" s="1" t="s">
        <v>1554</v>
      </c>
      <c r="F1089" s="1" t="s">
        <v>1495</v>
      </c>
      <c r="G1089" s="1" t="s">
        <v>1531</v>
      </c>
      <c r="H1089" s="1" t="s">
        <v>1347</v>
      </c>
      <c r="I1089" s="1" t="s">
        <v>1543</v>
      </c>
      <c r="J1089" s="1" t="s">
        <v>1243</v>
      </c>
      <c r="K1089" s="1" t="s">
        <v>1555</v>
      </c>
      <c r="L1089" s="1" t="s">
        <v>1300</v>
      </c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</row>
    <row r="1090" ht="14.25" customHeight="1">
      <c r="A1090" s="36"/>
      <c r="B1090" s="3"/>
      <c r="C1090" s="3"/>
      <c r="D1090" s="8"/>
      <c r="E1090" s="8"/>
      <c r="F1090" s="1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</row>
    <row r="1091" ht="14.25" customHeight="1">
      <c r="A1091" s="91" t="s">
        <v>1556</v>
      </c>
      <c r="B1091" s="93">
        <v>44704.0</v>
      </c>
      <c r="C1091" s="42" t="s">
        <v>1557</v>
      </c>
      <c r="D1091" s="1" t="s">
        <v>1330</v>
      </c>
      <c r="E1091" s="1" t="s">
        <v>1558</v>
      </c>
      <c r="F1091" s="1" t="s">
        <v>1495</v>
      </c>
      <c r="G1091" s="1" t="s">
        <v>1503</v>
      </c>
      <c r="H1091" s="1" t="s">
        <v>1347</v>
      </c>
      <c r="I1091" s="1" t="s">
        <v>1543</v>
      </c>
      <c r="J1091" s="1" t="s">
        <v>1243</v>
      </c>
      <c r="K1091" s="1" t="s">
        <v>1559</v>
      </c>
      <c r="L1091" s="1" t="s">
        <v>1243</v>
      </c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</row>
    <row r="1092" ht="14.25" customHeight="1">
      <c r="A1092" s="36"/>
      <c r="B1092" s="3"/>
      <c r="C1092" s="3"/>
      <c r="D1092" s="8"/>
      <c r="E1092" s="8"/>
      <c r="F1092" s="1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</row>
    <row r="1093" ht="14.25" customHeight="1">
      <c r="A1093" s="91" t="s">
        <v>1560</v>
      </c>
      <c r="B1093" s="93">
        <v>44704.0</v>
      </c>
      <c r="C1093" s="82" t="s">
        <v>428</v>
      </c>
      <c r="D1093" s="1" t="s">
        <v>1330</v>
      </c>
      <c r="E1093" s="1" t="s">
        <v>1561</v>
      </c>
      <c r="F1093" s="1" t="s">
        <v>1091</v>
      </c>
      <c r="G1093" s="1" t="s">
        <v>1503</v>
      </c>
      <c r="H1093" s="1" t="s">
        <v>1504</v>
      </c>
      <c r="I1093" s="1" t="s">
        <v>1543</v>
      </c>
      <c r="J1093" s="1" t="s">
        <v>1300</v>
      </c>
      <c r="K1093" s="1" t="s">
        <v>1562</v>
      </c>
      <c r="L1093" s="1" t="s">
        <v>1243</v>
      </c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</row>
    <row r="1094" ht="14.25" customHeight="1">
      <c r="A1094" s="26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</row>
    <row r="1095" ht="14.25" customHeight="1">
      <c r="A1095" s="96" t="s">
        <v>1563</v>
      </c>
      <c r="B1095" s="97">
        <v>44712.0</v>
      </c>
      <c r="C1095" s="98" t="s">
        <v>1564</v>
      </c>
      <c r="D1095" s="1" t="s">
        <v>1330</v>
      </c>
      <c r="E1095" s="1" t="s">
        <v>1565</v>
      </c>
      <c r="F1095" s="1" t="s">
        <v>1495</v>
      </c>
      <c r="G1095" s="1" t="s">
        <v>1531</v>
      </c>
      <c r="H1095" s="115" t="s">
        <v>1566</v>
      </c>
      <c r="I1095" s="1" t="s">
        <v>1310</v>
      </c>
      <c r="J1095" s="78" t="s">
        <v>1250</v>
      </c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</row>
    <row r="1096" ht="14.25" customHeight="1">
      <c r="A1096" s="36"/>
      <c r="B1096" s="3"/>
      <c r="C1096" s="3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</row>
    <row r="1097" ht="14.25" customHeight="1">
      <c r="A1097" s="91" t="s">
        <v>1567</v>
      </c>
      <c r="B1097" s="93">
        <v>44712.0</v>
      </c>
      <c r="C1097" s="42" t="s">
        <v>1568</v>
      </c>
      <c r="D1097" s="1" t="s">
        <v>1330</v>
      </c>
      <c r="E1097" s="1" t="s">
        <v>1569</v>
      </c>
      <c r="F1097" s="1" t="s">
        <v>1495</v>
      </c>
      <c r="G1097" s="1" t="s">
        <v>1368</v>
      </c>
      <c r="H1097" s="1" t="s">
        <v>1347</v>
      </c>
      <c r="I1097" s="1" t="s">
        <v>1310</v>
      </c>
      <c r="J1097" s="1" t="s">
        <v>1243</v>
      </c>
      <c r="K1097" s="1" t="s">
        <v>1426</v>
      </c>
      <c r="L1097" s="1" t="s">
        <v>1243</v>
      </c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</row>
    <row r="1098" ht="14.25" customHeight="1">
      <c r="A1098" s="36"/>
      <c r="B1098" s="3"/>
      <c r="C1098" s="3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</row>
    <row r="1099" ht="14.25" customHeight="1">
      <c r="A1099" s="91" t="s">
        <v>1570</v>
      </c>
      <c r="B1099" s="93">
        <v>44712.0</v>
      </c>
      <c r="C1099" s="42" t="s">
        <v>1571</v>
      </c>
      <c r="D1099" s="1" t="s">
        <v>1330</v>
      </c>
      <c r="E1099" s="1" t="s">
        <v>1572</v>
      </c>
      <c r="F1099" s="1" t="s">
        <v>1495</v>
      </c>
      <c r="G1099" s="1" t="s">
        <v>1531</v>
      </c>
      <c r="H1099" s="1" t="s">
        <v>1347</v>
      </c>
      <c r="I1099" s="1" t="s">
        <v>1310</v>
      </c>
      <c r="J1099" s="1" t="s">
        <v>1243</v>
      </c>
      <c r="K1099" s="1" t="s">
        <v>1426</v>
      </c>
      <c r="L1099" s="1" t="s">
        <v>1243</v>
      </c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</row>
    <row r="1100" ht="14.25" customHeight="1">
      <c r="A1100" s="36"/>
      <c r="B1100" s="3"/>
      <c r="C1100" s="3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</row>
    <row r="1101" ht="14.25" customHeight="1">
      <c r="A1101" s="91" t="s">
        <v>1573</v>
      </c>
      <c r="B1101" s="3"/>
      <c r="C1101" s="42" t="s">
        <v>1574</v>
      </c>
      <c r="D1101" s="1" t="s">
        <v>1575</v>
      </c>
      <c r="E1101" s="8"/>
      <c r="F1101" s="1" t="s">
        <v>58</v>
      </c>
      <c r="G1101" s="1" t="s">
        <v>1181</v>
      </c>
      <c r="H1101" s="1" t="s">
        <v>1576</v>
      </c>
      <c r="I1101" s="1" t="s">
        <v>1543</v>
      </c>
      <c r="J1101" s="1" t="s">
        <v>1243</v>
      </c>
      <c r="K1101" s="1" t="s">
        <v>1577</v>
      </c>
      <c r="L1101" s="1" t="s">
        <v>1243</v>
      </c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</row>
    <row r="1102" ht="14.25" customHeight="1">
      <c r="A1102" s="36"/>
      <c r="B1102" s="3"/>
      <c r="C1102" s="3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</row>
    <row r="1103" ht="14.25" customHeight="1">
      <c r="A1103" s="91" t="s">
        <v>1578</v>
      </c>
      <c r="B1103" s="93">
        <v>44715.0</v>
      </c>
      <c r="C1103" s="94" t="s">
        <v>1579</v>
      </c>
      <c r="D1103" s="1" t="s">
        <v>804</v>
      </c>
      <c r="E1103" s="17" t="s">
        <v>1580</v>
      </c>
      <c r="F1103" s="1" t="s">
        <v>1581</v>
      </c>
      <c r="G1103" s="1" t="s">
        <v>1582</v>
      </c>
      <c r="H1103" s="1" t="s">
        <v>1253</v>
      </c>
      <c r="I1103" s="1" t="s">
        <v>1139</v>
      </c>
      <c r="J1103" s="1" t="s">
        <v>1243</v>
      </c>
      <c r="K1103" s="1" t="s">
        <v>1583</v>
      </c>
      <c r="L1103" s="1" t="s">
        <v>1243</v>
      </c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</row>
    <row r="1104" ht="14.25" customHeight="1">
      <c r="A1104" s="36"/>
      <c r="B1104" s="3"/>
      <c r="C1104" s="3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</row>
    <row r="1105" ht="14.25" customHeight="1">
      <c r="A1105" s="96" t="s">
        <v>1584</v>
      </c>
      <c r="B1105" s="97">
        <v>44715.0</v>
      </c>
      <c r="C1105" s="98" t="s">
        <v>1585</v>
      </c>
      <c r="D1105" s="1" t="s">
        <v>1586</v>
      </c>
      <c r="E1105" s="17" t="s">
        <v>1587</v>
      </c>
      <c r="F1105" s="1" t="s">
        <v>1091</v>
      </c>
      <c r="G1105" s="1" t="s">
        <v>1466</v>
      </c>
      <c r="H1105" s="1" t="s">
        <v>1253</v>
      </c>
      <c r="I1105" s="1" t="s">
        <v>1139</v>
      </c>
      <c r="J1105" s="78" t="s">
        <v>1371</v>
      </c>
      <c r="K1105" s="8"/>
      <c r="L1105" s="8"/>
      <c r="M1105" s="1" t="s">
        <v>1381</v>
      </c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</row>
    <row r="1106" ht="14.25" customHeight="1">
      <c r="A1106" s="36"/>
      <c r="B1106" s="3"/>
      <c r="C1106" s="3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</row>
    <row r="1107" ht="14.25" customHeight="1">
      <c r="A1107" s="91" t="s">
        <v>1588</v>
      </c>
      <c r="B1107" s="93">
        <v>44715.0</v>
      </c>
      <c r="C1107" s="42" t="s">
        <v>1589</v>
      </c>
      <c r="D1107" s="1" t="s">
        <v>1330</v>
      </c>
      <c r="E1107" s="1" t="s">
        <v>1590</v>
      </c>
      <c r="F1107" s="1" t="s">
        <v>822</v>
      </c>
      <c r="G1107" s="1" t="s">
        <v>1591</v>
      </c>
      <c r="H1107" s="8"/>
      <c r="I1107" s="1" t="s">
        <v>1139</v>
      </c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</row>
    <row r="1108" ht="14.25" customHeight="1">
      <c r="A1108" s="36"/>
      <c r="B1108" s="3"/>
      <c r="C1108" s="3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</row>
    <row r="1109" ht="14.25" customHeight="1">
      <c r="A1109" s="91" t="s">
        <v>1592</v>
      </c>
      <c r="B1109" s="93">
        <v>44715.0</v>
      </c>
      <c r="C1109" s="42" t="s">
        <v>1589</v>
      </c>
      <c r="D1109" s="1" t="s">
        <v>1330</v>
      </c>
      <c r="E1109" s="1" t="s">
        <v>1593</v>
      </c>
      <c r="F1109" s="1" t="s">
        <v>822</v>
      </c>
      <c r="G1109" s="1" t="s">
        <v>1594</v>
      </c>
      <c r="H1109" s="8"/>
      <c r="I1109" s="1" t="s">
        <v>1139</v>
      </c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</row>
    <row r="1110" ht="14.25" customHeight="1">
      <c r="A1110" s="36"/>
      <c r="B1110" s="3"/>
      <c r="C1110" s="3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</row>
    <row r="1111" ht="14.25" customHeight="1">
      <c r="A1111" s="96" t="s">
        <v>1595</v>
      </c>
      <c r="B1111" s="97">
        <v>44720.0</v>
      </c>
      <c r="C1111" s="98" t="s">
        <v>1506</v>
      </c>
      <c r="D1111" s="8"/>
      <c r="E1111" s="8"/>
      <c r="F1111" s="1" t="s">
        <v>1596</v>
      </c>
      <c r="G1111" s="1" t="s">
        <v>1531</v>
      </c>
      <c r="H1111" s="1" t="s">
        <v>1253</v>
      </c>
      <c r="I1111" s="1" t="s">
        <v>1597</v>
      </c>
      <c r="J1111" s="78" t="s">
        <v>1371</v>
      </c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</row>
    <row r="1112" ht="14.25" customHeight="1">
      <c r="A1112" s="79"/>
      <c r="B1112" s="81"/>
      <c r="C1112" s="81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</row>
    <row r="1113" ht="14.25" customHeight="1">
      <c r="A1113" s="96" t="s">
        <v>1598</v>
      </c>
      <c r="B1113" s="97">
        <v>44720.0</v>
      </c>
      <c r="C1113" s="98" t="s">
        <v>1568</v>
      </c>
      <c r="D1113" s="1" t="s">
        <v>1330</v>
      </c>
      <c r="E1113" s="1" t="s">
        <v>1599</v>
      </c>
      <c r="F1113" s="1" t="s">
        <v>1495</v>
      </c>
      <c r="G1113" s="1" t="s">
        <v>1503</v>
      </c>
      <c r="H1113" s="1" t="s">
        <v>1347</v>
      </c>
      <c r="I1113" s="1" t="s">
        <v>1139</v>
      </c>
      <c r="J1113" s="78" t="s">
        <v>1250</v>
      </c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</row>
    <row r="1114" ht="14.25" customHeight="1">
      <c r="A1114" s="79"/>
      <c r="B1114" s="81"/>
      <c r="C1114" s="81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</row>
    <row r="1115" ht="14.25" customHeight="1">
      <c r="A1115" s="96" t="s">
        <v>1600</v>
      </c>
      <c r="B1115" s="97">
        <v>44720.0</v>
      </c>
      <c r="C1115" s="98" t="s">
        <v>1601</v>
      </c>
      <c r="D1115" s="1" t="s">
        <v>1330</v>
      </c>
      <c r="E1115" s="1" t="s">
        <v>1602</v>
      </c>
      <c r="F1115" s="1" t="s">
        <v>1495</v>
      </c>
      <c r="G1115" s="1" t="s">
        <v>1531</v>
      </c>
      <c r="H1115" s="1" t="s">
        <v>1347</v>
      </c>
      <c r="I1115" s="1" t="s">
        <v>1139</v>
      </c>
      <c r="J1115" s="78" t="s">
        <v>1250</v>
      </c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</row>
    <row r="1116" ht="14.25" customHeight="1">
      <c r="A1116" s="26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</row>
    <row r="1117" ht="14.25" customHeight="1">
      <c r="A1117" s="91" t="s">
        <v>1603</v>
      </c>
      <c r="B1117" s="93">
        <v>44721.0</v>
      </c>
      <c r="C1117" s="112" t="s">
        <v>796</v>
      </c>
      <c r="D1117" s="1" t="s">
        <v>804</v>
      </c>
      <c r="E1117" s="116" t="s">
        <v>1604</v>
      </c>
      <c r="F1117" s="1" t="s">
        <v>1091</v>
      </c>
      <c r="G1117" s="1" t="s">
        <v>1503</v>
      </c>
      <c r="H1117" s="1" t="s">
        <v>1253</v>
      </c>
      <c r="I1117" s="1" t="s">
        <v>1139</v>
      </c>
      <c r="J1117" s="1" t="s">
        <v>1243</v>
      </c>
      <c r="K1117" s="1" t="s">
        <v>1605</v>
      </c>
      <c r="L1117" s="1" t="s">
        <v>1243</v>
      </c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</row>
    <row r="1118" ht="14.25" customHeight="1">
      <c r="A1118" s="36"/>
      <c r="B1118" s="3"/>
      <c r="C1118" s="117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</row>
    <row r="1119" ht="14.25" customHeight="1">
      <c r="A1119" s="91" t="s">
        <v>1606</v>
      </c>
      <c r="B1119" s="93">
        <v>44721.0</v>
      </c>
      <c r="C1119" s="42" t="s">
        <v>1607</v>
      </c>
      <c r="D1119" s="1" t="s">
        <v>804</v>
      </c>
      <c r="E1119" s="8"/>
      <c r="F1119" s="1" t="s">
        <v>1608</v>
      </c>
      <c r="G1119" s="1" t="s">
        <v>1531</v>
      </c>
      <c r="H1119" s="1" t="s">
        <v>1347</v>
      </c>
      <c r="I1119" s="1" t="s">
        <v>1139</v>
      </c>
      <c r="J1119" s="1" t="s">
        <v>1243</v>
      </c>
      <c r="K1119" s="1" t="s">
        <v>1609</v>
      </c>
      <c r="L1119" s="1" t="s">
        <v>1243</v>
      </c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</row>
    <row r="1120" ht="14.25" customHeight="1">
      <c r="A1120" s="36"/>
      <c r="B1120" s="3"/>
      <c r="C1120" s="3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</row>
    <row r="1121" ht="14.25" customHeight="1">
      <c r="A1121" s="96" t="s">
        <v>1610</v>
      </c>
      <c r="B1121" s="97">
        <v>44726.0</v>
      </c>
      <c r="C1121" s="98" t="s">
        <v>1611</v>
      </c>
      <c r="D1121" s="1" t="s">
        <v>804</v>
      </c>
      <c r="E1121" s="8"/>
      <c r="F1121" s="1" t="s">
        <v>707</v>
      </c>
      <c r="G1121" s="8"/>
      <c r="H1121" s="1" t="s">
        <v>1253</v>
      </c>
      <c r="I1121" s="1" t="s">
        <v>1467</v>
      </c>
      <c r="J1121" s="78" t="s">
        <v>1371</v>
      </c>
      <c r="K1121" s="11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</row>
    <row r="1122" ht="14.25" customHeight="1">
      <c r="A1122" s="36"/>
      <c r="B1122" s="3"/>
      <c r="C1122" s="3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</row>
    <row r="1123" ht="14.25" customHeight="1">
      <c r="A1123" s="91" t="s">
        <v>1612</v>
      </c>
      <c r="B1123" s="93">
        <v>44726.0</v>
      </c>
      <c r="C1123" s="42" t="s">
        <v>1613</v>
      </c>
      <c r="D1123" s="1" t="s">
        <v>804</v>
      </c>
      <c r="E1123" s="1" t="s">
        <v>1614</v>
      </c>
      <c r="F1123" s="1" t="s">
        <v>1615</v>
      </c>
      <c r="G1123" s="1" t="s">
        <v>1531</v>
      </c>
      <c r="H1123" s="1" t="s">
        <v>1253</v>
      </c>
      <c r="I1123" s="1" t="s">
        <v>1310</v>
      </c>
      <c r="J1123" s="1" t="s">
        <v>1243</v>
      </c>
      <c r="K1123" s="1" t="s">
        <v>1616</v>
      </c>
      <c r="L1123" s="1" t="s">
        <v>1300</v>
      </c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</row>
    <row r="1124" ht="14.25" customHeight="1">
      <c r="A1124" s="36"/>
      <c r="B1124" s="3"/>
      <c r="C1124" s="3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</row>
    <row r="1125" ht="14.25" customHeight="1">
      <c r="A1125" s="96" t="s">
        <v>1617</v>
      </c>
      <c r="B1125" s="97">
        <v>44727.0</v>
      </c>
      <c r="C1125" s="98" t="s">
        <v>1618</v>
      </c>
      <c r="D1125" s="1" t="s">
        <v>1575</v>
      </c>
      <c r="E1125" s="8"/>
      <c r="F1125" s="1" t="s">
        <v>1091</v>
      </c>
      <c r="G1125" s="1" t="s">
        <v>1551</v>
      </c>
      <c r="H1125" s="1" t="s">
        <v>1619</v>
      </c>
      <c r="I1125" s="1" t="s">
        <v>1310</v>
      </c>
      <c r="J1125" s="78" t="s">
        <v>1250</v>
      </c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</row>
    <row r="1126" ht="14.25" customHeight="1">
      <c r="A1126" s="26"/>
      <c r="B1126" s="8"/>
      <c r="C1126" s="8"/>
      <c r="D1126" s="8"/>
      <c r="E1126" s="8"/>
      <c r="F1126" s="8"/>
      <c r="G1126" s="8"/>
      <c r="H1126" s="8"/>
      <c r="I1126" s="1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</row>
    <row r="1127" ht="14.25" customHeight="1">
      <c r="A1127" s="91" t="s">
        <v>1620</v>
      </c>
      <c r="B1127" s="93">
        <v>44729.0</v>
      </c>
      <c r="C1127" s="42" t="s">
        <v>1621</v>
      </c>
      <c r="D1127" s="1" t="s">
        <v>1330</v>
      </c>
      <c r="E1127" s="1" t="s">
        <v>1622</v>
      </c>
      <c r="F1127" s="1" t="s">
        <v>1495</v>
      </c>
      <c r="G1127" s="1" t="s">
        <v>1531</v>
      </c>
      <c r="H1127" s="1" t="s">
        <v>1347</v>
      </c>
      <c r="I1127" s="1" t="s">
        <v>1139</v>
      </c>
      <c r="J1127" s="1" t="s">
        <v>1243</v>
      </c>
      <c r="K1127" s="1" t="s">
        <v>1583</v>
      </c>
      <c r="L1127" s="1" t="s">
        <v>1243</v>
      </c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</row>
    <row r="1128" ht="14.25" customHeight="1">
      <c r="A1128" s="26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</row>
    <row r="1129" ht="14.25" customHeight="1">
      <c r="A1129" s="91" t="s">
        <v>1623</v>
      </c>
      <c r="B1129" s="93">
        <v>44733.0</v>
      </c>
      <c r="C1129" s="42" t="s">
        <v>1624</v>
      </c>
      <c r="D1129" s="1" t="s">
        <v>1330</v>
      </c>
      <c r="E1129" s="1" t="s">
        <v>1625</v>
      </c>
      <c r="F1129" s="1" t="s">
        <v>99</v>
      </c>
      <c r="G1129" s="1" t="s">
        <v>1551</v>
      </c>
      <c r="H1129" s="1" t="s">
        <v>1576</v>
      </c>
      <c r="I1129" s="1" t="s">
        <v>1310</v>
      </c>
      <c r="J1129" s="1" t="s">
        <v>1300</v>
      </c>
      <c r="K1129" s="1" t="s">
        <v>1626</v>
      </c>
      <c r="L1129" s="1" t="s">
        <v>1300</v>
      </c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</row>
    <row r="1130" ht="14.25" customHeight="1">
      <c r="A1130" s="36"/>
      <c r="B1130" s="3"/>
      <c r="C1130" s="3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</row>
    <row r="1131" ht="14.25" customHeight="1">
      <c r="A1131" s="91" t="s">
        <v>1627</v>
      </c>
      <c r="B1131" s="93">
        <v>44733.0</v>
      </c>
      <c r="C1131" s="42" t="s">
        <v>1628</v>
      </c>
      <c r="D1131" s="1" t="s">
        <v>1330</v>
      </c>
      <c r="E1131" s="1" t="s">
        <v>1629</v>
      </c>
      <c r="F1131" s="1" t="s">
        <v>1495</v>
      </c>
      <c r="G1131" s="1" t="s">
        <v>1531</v>
      </c>
      <c r="H1131" s="1" t="s">
        <v>1347</v>
      </c>
      <c r="I1131" s="1" t="s">
        <v>1310</v>
      </c>
      <c r="J1131" s="1" t="s">
        <v>1243</v>
      </c>
      <c r="K1131" s="1" t="s">
        <v>1626</v>
      </c>
      <c r="L1131" s="1" t="s">
        <v>1300</v>
      </c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</row>
    <row r="1132" ht="14.25" customHeight="1">
      <c r="A1132" s="36"/>
      <c r="B1132" s="3"/>
      <c r="C1132" s="3"/>
      <c r="D1132" s="8"/>
      <c r="E1132" s="8"/>
      <c r="F1132" s="8"/>
      <c r="G1132" s="8"/>
      <c r="H1132" s="8"/>
      <c r="I1132" s="1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</row>
    <row r="1133" ht="14.25" customHeight="1">
      <c r="A1133" s="96" t="s">
        <v>1630</v>
      </c>
      <c r="B1133" s="97">
        <v>44733.0</v>
      </c>
      <c r="C1133" s="98" t="s">
        <v>1631</v>
      </c>
      <c r="D1133" s="1" t="s">
        <v>1330</v>
      </c>
      <c r="E1133" s="1" t="s">
        <v>1632</v>
      </c>
      <c r="F1133" s="1" t="s">
        <v>1633</v>
      </c>
      <c r="G1133" s="1" t="s">
        <v>1503</v>
      </c>
      <c r="H1133" s="1" t="s">
        <v>1253</v>
      </c>
      <c r="I1133" s="1" t="s">
        <v>1139</v>
      </c>
      <c r="J1133" s="78" t="s">
        <v>1371</v>
      </c>
      <c r="K1133" s="1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</row>
    <row r="1134" ht="14.25" customHeight="1">
      <c r="A1134" s="36"/>
      <c r="B1134" s="3"/>
      <c r="C1134" s="3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</row>
    <row r="1135" ht="14.25" customHeight="1">
      <c r="A1135" s="91" t="s">
        <v>1634</v>
      </c>
      <c r="B1135" s="93">
        <v>44733.0</v>
      </c>
      <c r="C1135" s="42" t="s">
        <v>1635</v>
      </c>
      <c r="D1135" s="1" t="s">
        <v>804</v>
      </c>
      <c r="E1135" s="60" t="s">
        <v>1636</v>
      </c>
      <c r="F1135" s="1" t="s">
        <v>1633</v>
      </c>
      <c r="G1135" s="1" t="s">
        <v>1551</v>
      </c>
      <c r="H1135" s="1" t="s">
        <v>1253</v>
      </c>
      <c r="I1135" s="1" t="s">
        <v>1139</v>
      </c>
      <c r="J1135" s="1" t="s">
        <v>1243</v>
      </c>
      <c r="K1135" s="1" t="s">
        <v>1559</v>
      </c>
      <c r="L1135" s="1" t="s">
        <v>1300</v>
      </c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</row>
    <row r="1136" ht="14.25" customHeight="1">
      <c r="A1136" s="26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</row>
    <row r="1137" ht="14.25" customHeight="1">
      <c r="A1137" s="96" t="s">
        <v>1637</v>
      </c>
      <c r="B1137" s="97">
        <v>44734.0</v>
      </c>
      <c r="C1137" s="98" t="s">
        <v>698</v>
      </c>
      <c r="D1137" s="1" t="s">
        <v>1483</v>
      </c>
      <c r="E1137" s="8"/>
      <c r="F1137" s="1" t="s">
        <v>1638</v>
      </c>
      <c r="G1137" s="1" t="s">
        <v>1531</v>
      </c>
      <c r="H1137" s="17" t="s">
        <v>1639</v>
      </c>
      <c r="I1137" s="1" t="s">
        <v>1139</v>
      </c>
      <c r="J1137" s="78" t="s">
        <v>1371</v>
      </c>
      <c r="K1137" s="1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</row>
    <row r="1138" ht="14.25" customHeight="1">
      <c r="A1138" s="26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</row>
    <row r="1139" ht="14.25" customHeight="1">
      <c r="A1139" s="91" t="s">
        <v>1640</v>
      </c>
      <c r="B1139" s="93">
        <v>44739.0</v>
      </c>
      <c r="C1139" s="42" t="s">
        <v>1631</v>
      </c>
      <c r="D1139" s="1" t="s">
        <v>1330</v>
      </c>
      <c r="E1139" s="1" t="s">
        <v>1641</v>
      </c>
      <c r="F1139" s="1" t="s">
        <v>1633</v>
      </c>
      <c r="G1139" s="1" t="s">
        <v>1531</v>
      </c>
      <c r="H1139" s="1" t="s">
        <v>1253</v>
      </c>
      <c r="I1139" s="1" t="s">
        <v>1139</v>
      </c>
      <c r="J1139" s="1" t="s">
        <v>1243</v>
      </c>
      <c r="K1139" s="1" t="s">
        <v>1583</v>
      </c>
      <c r="L1139" s="1" t="s">
        <v>1243</v>
      </c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</row>
    <row r="1140" ht="14.25" customHeight="1">
      <c r="A1140" s="26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</row>
    <row r="1141" ht="14.25" customHeight="1">
      <c r="A1141" s="96" t="s">
        <v>1642</v>
      </c>
      <c r="B1141" s="97">
        <v>44740.0</v>
      </c>
      <c r="C1141" s="98" t="s">
        <v>1643</v>
      </c>
      <c r="D1141" s="1" t="s">
        <v>1483</v>
      </c>
      <c r="E1141" s="8"/>
      <c r="F1141" s="1" t="s">
        <v>1644</v>
      </c>
      <c r="G1141" s="1" t="s">
        <v>1645</v>
      </c>
      <c r="H1141" s="1" t="s">
        <v>1646</v>
      </c>
      <c r="I1141" s="1" t="s">
        <v>1139</v>
      </c>
      <c r="J1141" s="78" t="s">
        <v>1647</v>
      </c>
      <c r="K1141" s="1" t="s">
        <v>1648</v>
      </c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</row>
    <row r="1142" ht="14.25" customHeight="1">
      <c r="A1142" s="36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1" t="s">
        <v>1649</v>
      </c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</row>
    <row r="1143" ht="14.25" customHeight="1">
      <c r="A1143" s="96" t="s">
        <v>1650</v>
      </c>
      <c r="B1143" s="97">
        <v>44740.0</v>
      </c>
      <c r="C1143" s="98" t="s">
        <v>1643</v>
      </c>
      <c r="D1143" s="1" t="s">
        <v>1330</v>
      </c>
      <c r="E1143" s="8"/>
      <c r="F1143" s="1" t="s">
        <v>58</v>
      </c>
      <c r="G1143" s="1" t="s">
        <v>1531</v>
      </c>
      <c r="H1143" s="1" t="s">
        <v>1651</v>
      </c>
      <c r="I1143" s="1" t="s">
        <v>1139</v>
      </c>
      <c r="J1143" s="78" t="s">
        <v>1371</v>
      </c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</row>
    <row r="1144" ht="14.25" customHeight="1">
      <c r="A1144" s="36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</row>
    <row r="1145" ht="14.25" customHeight="1">
      <c r="A1145" s="91" t="s">
        <v>1652</v>
      </c>
      <c r="B1145" s="93">
        <v>44740.0</v>
      </c>
      <c r="C1145" s="42" t="s">
        <v>1653</v>
      </c>
      <c r="D1145" s="1" t="s">
        <v>1654</v>
      </c>
      <c r="E1145" s="111" t="s">
        <v>1655</v>
      </c>
      <c r="F1145" s="1" t="s">
        <v>1091</v>
      </c>
      <c r="G1145" s="1" t="s">
        <v>1503</v>
      </c>
      <c r="H1145" s="1" t="s">
        <v>1253</v>
      </c>
      <c r="I1145" s="1" t="s">
        <v>1139</v>
      </c>
      <c r="J1145" s="1" t="s">
        <v>1300</v>
      </c>
      <c r="K1145" s="1" t="s">
        <v>1583</v>
      </c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</row>
    <row r="1146" ht="14.25" customHeight="1">
      <c r="A1146" s="26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</row>
    <row r="1147" ht="14.25" customHeight="1">
      <c r="A1147" s="91" t="s">
        <v>1656</v>
      </c>
      <c r="B1147" s="93">
        <v>44741.0</v>
      </c>
      <c r="C1147" s="42" t="s">
        <v>1657</v>
      </c>
      <c r="D1147" s="1" t="s">
        <v>1330</v>
      </c>
      <c r="E1147" s="1" t="s">
        <v>1658</v>
      </c>
      <c r="F1147" s="1" t="s">
        <v>881</v>
      </c>
      <c r="G1147" s="1" t="s">
        <v>1531</v>
      </c>
      <c r="H1147" s="1" t="s">
        <v>1347</v>
      </c>
      <c r="I1147" s="1" t="s">
        <v>1310</v>
      </c>
      <c r="J1147" s="1" t="s">
        <v>1300</v>
      </c>
      <c r="K1147" s="1" t="s">
        <v>1583</v>
      </c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</row>
    <row r="1148" ht="14.25" customHeight="1">
      <c r="A1148" s="26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</row>
    <row r="1149" ht="14.25" customHeight="1">
      <c r="A1149" s="91" t="s">
        <v>1659</v>
      </c>
      <c r="B1149" s="93">
        <v>44747.0</v>
      </c>
      <c r="C1149" s="119" t="s">
        <v>1660</v>
      </c>
      <c r="D1149" s="1" t="s">
        <v>1330</v>
      </c>
      <c r="E1149" s="1" t="s">
        <v>1661</v>
      </c>
      <c r="F1149" s="1" t="s">
        <v>822</v>
      </c>
      <c r="G1149" s="1" t="s">
        <v>1531</v>
      </c>
      <c r="H1149" s="1" t="s">
        <v>1253</v>
      </c>
      <c r="I1149" s="1" t="s">
        <v>1310</v>
      </c>
      <c r="J1149" s="1" t="s">
        <v>1243</v>
      </c>
      <c r="K1149" s="1" t="s">
        <v>1583</v>
      </c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</row>
    <row r="1150" ht="14.25" customHeight="1">
      <c r="A1150" s="91"/>
      <c r="B1150" s="3"/>
      <c r="C1150" s="3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</row>
    <row r="1151" ht="14.25" customHeight="1">
      <c r="A1151" s="96" t="s">
        <v>1662</v>
      </c>
      <c r="B1151" s="97">
        <v>44747.0</v>
      </c>
      <c r="C1151" s="98" t="s">
        <v>1663</v>
      </c>
      <c r="D1151" s="1" t="s">
        <v>1330</v>
      </c>
      <c r="E1151" s="1" t="s">
        <v>1664</v>
      </c>
      <c r="F1151" s="1" t="s">
        <v>881</v>
      </c>
      <c r="G1151" s="1" t="s">
        <v>1665</v>
      </c>
      <c r="H1151" s="17" t="s">
        <v>1666</v>
      </c>
      <c r="I1151" s="1" t="s">
        <v>1310</v>
      </c>
      <c r="J1151" s="78" t="s">
        <v>1371</v>
      </c>
      <c r="K1151" s="1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</row>
    <row r="1152" ht="14.25" customHeight="1">
      <c r="A1152" s="36"/>
      <c r="B1152" s="3"/>
      <c r="C1152" s="3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</row>
    <row r="1153" ht="14.25" customHeight="1">
      <c r="A1153" s="91" t="s">
        <v>1667</v>
      </c>
      <c r="B1153" s="93">
        <v>44748.0</v>
      </c>
      <c r="C1153" s="119" t="s">
        <v>1668</v>
      </c>
      <c r="D1153" s="1" t="s">
        <v>1669</v>
      </c>
      <c r="E1153" s="1" t="s">
        <v>1670</v>
      </c>
      <c r="F1153" s="1" t="s">
        <v>1091</v>
      </c>
      <c r="G1153" s="1" t="s">
        <v>1671</v>
      </c>
      <c r="H1153" s="1" t="s">
        <v>1672</v>
      </c>
      <c r="I1153" s="1" t="s">
        <v>1139</v>
      </c>
      <c r="J1153" s="1" t="s">
        <v>1243</v>
      </c>
      <c r="K1153" s="1" t="s">
        <v>1673</v>
      </c>
      <c r="L1153" s="1" t="s">
        <v>1243</v>
      </c>
      <c r="M1153" s="1" t="s">
        <v>1674</v>
      </c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</row>
    <row r="1154" ht="14.25" customHeight="1">
      <c r="A1154" s="36"/>
      <c r="B1154" s="3"/>
      <c r="C1154" s="3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</row>
    <row r="1155" ht="14.25" customHeight="1">
      <c r="A1155" s="96" t="s">
        <v>1675</v>
      </c>
      <c r="B1155" s="97">
        <v>44750.0</v>
      </c>
      <c r="C1155" s="98" t="s">
        <v>1676</v>
      </c>
      <c r="D1155" s="1" t="s">
        <v>1330</v>
      </c>
      <c r="E1155" s="1" t="s">
        <v>1677</v>
      </c>
      <c r="F1155" s="1" t="s">
        <v>1405</v>
      </c>
      <c r="G1155" s="1" t="s">
        <v>1531</v>
      </c>
      <c r="H1155" s="1" t="s">
        <v>1347</v>
      </c>
      <c r="I1155" s="1" t="s">
        <v>1139</v>
      </c>
      <c r="J1155" s="78" t="s">
        <v>1371</v>
      </c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</row>
    <row r="1156" ht="14.25" customHeight="1">
      <c r="A1156" s="36"/>
      <c r="B1156" s="3"/>
      <c r="C1156" s="3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</row>
    <row r="1157" ht="14.25" customHeight="1">
      <c r="A1157" s="91" t="s">
        <v>1678</v>
      </c>
      <c r="B1157" s="93">
        <v>44753.0</v>
      </c>
      <c r="C1157" s="42" t="s">
        <v>1679</v>
      </c>
      <c r="D1157" s="1" t="s">
        <v>1330</v>
      </c>
      <c r="E1157" s="1" t="s">
        <v>1680</v>
      </c>
      <c r="F1157" s="1" t="s">
        <v>1091</v>
      </c>
      <c r="G1157" s="1" t="s">
        <v>1551</v>
      </c>
      <c r="H1157" s="1" t="s">
        <v>1425</v>
      </c>
      <c r="I1157" s="1" t="s">
        <v>1139</v>
      </c>
      <c r="J1157" s="1" t="s">
        <v>1243</v>
      </c>
      <c r="K1157" s="1" t="s">
        <v>1681</v>
      </c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</row>
    <row r="1158" ht="14.25" customHeight="1">
      <c r="A1158" s="36"/>
      <c r="B1158" s="3"/>
      <c r="C1158" s="3"/>
      <c r="D1158" s="8"/>
      <c r="E1158" s="8"/>
      <c r="F1158" s="8"/>
      <c r="G1158" s="8"/>
      <c r="H1158" s="8"/>
      <c r="I1158" s="8"/>
      <c r="J1158" s="8"/>
      <c r="K1158" s="1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</row>
    <row r="1159" ht="14.25" customHeight="1">
      <c r="A1159" s="91" t="s">
        <v>1682</v>
      </c>
      <c r="B1159" s="93">
        <v>44753.0</v>
      </c>
      <c r="C1159" s="42" t="s">
        <v>1679</v>
      </c>
      <c r="D1159" s="1" t="s">
        <v>1330</v>
      </c>
      <c r="E1159" s="1" t="s">
        <v>1683</v>
      </c>
      <c r="F1159" s="1" t="s">
        <v>1091</v>
      </c>
      <c r="G1159" s="1" t="s">
        <v>1551</v>
      </c>
      <c r="H1159" s="1" t="s">
        <v>1425</v>
      </c>
      <c r="I1159" s="1" t="s">
        <v>1139</v>
      </c>
      <c r="J1159" s="1" t="s">
        <v>1243</v>
      </c>
      <c r="K1159" s="1" t="s">
        <v>1684</v>
      </c>
      <c r="L1159" s="1" t="s">
        <v>1685</v>
      </c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</row>
    <row r="1160" ht="14.25" customHeight="1">
      <c r="A1160" s="26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</row>
    <row r="1161" ht="14.25" customHeight="1">
      <c r="A1161" s="91" t="s">
        <v>1686</v>
      </c>
      <c r="B1161" s="93">
        <v>44755.0</v>
      </c>
      <c r="C1161" s="42" t="s">
        <v>1687</v>
      </c>
      <c r="D1161" s="1" t="s">
        <v>1330</v>
      </c>
      <c r="E1161" s="1" t="s">
        <v>1688</v>
      </c>
      <c r="F1161" s="1" t="s">
        <v>1405</v>
      </c>
      <c r="G1161" s="1" t="s">
        <v>1689</v>
      </c>
      <c r="H1161" s="17" t="s">
        <v>1690</v>
      </c>
      <c r="I1161" s="1" t="s">
        <v>1139</v>
      </c>
      <c r="J1161" s="1" t="s">
        <v>1243</v>
      </c>
      <c r="K1161" s="1" t="s">
        <v>1583</v>
      </c>
      <c r="L1161" s="1" t="s">
        <v>1243</v>
      </c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</row>
    <row r="1162" ht="14.25" customHeight="1">
      <c r="A1162" s="36"/>
      <c r="B1162" s="3"/>
      <c r="C1162" s="3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</row>
    <row r="1163" ht="14.25" customHeight="1">
      <c r="A1163" s="91" t="s">
        <v>1691</v>
      </c>
      <c r="B1163" s="93">
        <v>44755.0</v>
      </c>
      <c r="C1163" s="42" t="s">
        <v>1692</v>
      </c>
      <c r="D1163" s="1" t="s">
        <v>1330</v>
      </c>
      <c r="E1163" s="1" t="s">
        <v>1693</v>
      </c>
      <c r="F1163" s="1" t="s">
        <v>1405</v>
      </c>
      <c r="G1163" s="1" t="s">
        <v>1551</v>
      </c>
      <c r="H1163" s="1" t="s">
        <v>1253</v>
      </c>
      <c r="I1163" s="1" t="s">
        <v>1139</v>
      </c>
      <c r="J1163" s="1" t="s">
        <v>1243</v>
      </c>
      <c r="K1163" s="1" t="s">
        <v>1626</v>
      </c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</row>
    <row r="1164" ht="14.25" customHeight="1">
      <c r="A1164" s="26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</row>
    <row r="1165" ht="14.25" customHeight="1">
      <c r="A1165" s="96" t="s">
        <v>1694</v>
      </c>
      <c r="B1165" s="97">
        <v>44760.0</v>
      </c>
      <c r="C1165" s="98" t="s">
        <v>1695</v>
      </c>
      <c r="D1165" s="1" t="s">
        <v>1330</v>
      </c>
      <c r="E1165" s="1">
        <v>1.7967337E7</v>
      </c>
      <c r="F1165" s="1" t="s">
        <v>1495</v>
      </c>
      <c r="G1165" s="1" t="s">
        <v>1551</v>
      </c>
      <c r="H1165" s="17" t="s">
        <v>1666</v>
      </c>
      <c r="I1165" s="1" t="s">
        <v>1139</v>
      </c>
      <c r="J1165" s="78" t="s">
        <v>1647</v>
      </c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</row>
    <row r="1166" ht="14.25" customHeight="1">
      <c r="A1166" s="36"/>
      <c r="B1166" s="3"/>
      <c r="C1166" s="3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</row>
    <row r="1167" ht="14.25" customHeight="1">
      <c r="A1167" s="96" t="s">
        <v>1696</v>
      </c>
      <c r="B1167" s="97">
        <v>44760.0</v>
      </c>
      <c r="C1167" s="98" t="s">
        <v>927</v>
      </c>
      <c r="D1167" s="1" t="s">
        <v>1330</v>
      </c>
      <c r="E1167" s="1" t="s">
        <v>1697</v>
      </c>
      <c r="F1167" s="1" t="s">
        <v>1495</v>
      </c>
      <c r="G1167" s="1" t="s">
        <v>1531</v>
      </c>
      <c r="H1167" s="17" t="s">
        <v>1666</v>
      </c>
      <c r="I1167" s="1" t="s">
        <v>1139</v>
      </c>
      <c r="J1167" s="78" t="s">
        <v>1647</v>
      </c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</row>
    <row r="1168" ht="14.25" customHeight="1">
      <c r="A1168" s="26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</row>
    <row r="1169" ht="14.25" customHeight="1">
      <c r="A1169" s="91" t="s">
        <v>1698</v>
      </c>
      <c r="B1169" s="93">
        <v>44760.0</v>
      </c>
      <c r="C1169" s="42" t="s">
        <v>1699</v>
      </c>
      <c r="D1169" s="1" t="s">
        <v>804</v>
      </c>
      <c r="E1169" s="1" t="s">
        <v>1700</v>
      </c>
      <c r="F1169" s="1" t="s">
        <v>58</v>
      </c>
      <c r="G1169" s="1" t="s">
        <v>1551</v>
      </c>
      <c r="H1169" s="1" t="s">
        <v>1253</v>
      </c>
      <c r="I1169" s="1" t="s">
        <v>1139</v>
      </c>
      <c r="J1169" s="1" t="s">
        <v>1243</v>
      </c>
      <c r="K1169" s="1" t="s">
        <v>1583</v>
      </c>
      <c r="L1169" s="1" t="s">
        <v>1243</v>
      </c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</row>
    <row r="1170" ht="14.25" customHeight="1">
      <c r="A1170" s="26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</row>
    <row r="1171" ht="14.25" customHeight="1">
      <c r="A1171" s="91" t="s">
        <v>1701</v>
      </c>
      <c r="B1171" s="120">
        <v>44767.0</v>
      </c>
      <c r="C1171" s="121" t="s">
        <v>1702</v>
      </c>
      <c r="D1171" s="1" t="s">
        <v>1330</v>
      </c>
      <c r="E1171" s="1" t="s">
        <v>1703</v>
      </c>
      <c r="F1171" s="1" t="s">
        <v>58</v>
      </c>
      <c r="G1171" s="1" t="s">
        <v>1704</v>
      </c>
      <c r="H1171" s="8"/>
      <c r="I1171" s="1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</row>
    <row r="1172" ht="14.25" customHeight="1">
      <c r="A1172" s="91"/>
      <c r="B1172" s="120"/>
      <c r="C1172" s="121"/>
      <c r="D1172" s="1"/>
      <c r="E1172" s="1"/>
      <c r="F1172" s="1"/>
      <c r="G1172" s="1"/>
      <c r="H1172" s="8"/>
      <c r="I1172" s="1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</row>
    <row r="1173" ht="14.25" customHeight="1">
      <c r="A1173" s="91" t="s">
        <v>1705</v>
      </c>
      <c r="B1173" s="120">
        <v>44770.0</v>
      </c>
      <c r="C1173" s="121" t="s">
        <v>1706</v>
      </c>
      <c r="D1173" s="1" t="s">
        <v>1707</v>
      </c>
      <c r="E1173" s="1" t="s">
        <v>1708</v>
      </c>
      <c r="F1173" s="1" t="s">
        <v>1709</v>
      </c>
      <c r="G1173" s="1" t="s">
        <v>1710</v>
      </c>
      <c r="H1173" s="8"/>
      <c r="I1173" s="1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</row>
    <row r="1174" ht="14.25" customHeight="1">
      <c r="A1174" s="26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</row>
    <row r="1175" ht="13.5" customHeight="1">
      <c r="A1175" s="91" t="s">
        <v>1711</v>
      </c>
      <c r="B1175" s="93">
        <v>44771.0</v>
      </c>
      <c r="C1175" s="42" t="s">
        <v>514</v>
      </c>
      <c r="D1175" s="1" t="s">
        <v>1330</v>
      </c>
      <c r="E1175" s="1" t="s">
        <v>515</v>
      </c>
      <c r="F1175" s="1" t="s">
        <v>58</v>
      </c>
      <c r="G1175" s="1" t="s">
        <v>1466</v>
      </c>
      <c r="H1175" s="1" t="s">
        <v>1425</v>
      </c>
      <c r="I1175" s="1" t="s">
        <v>1712</v>
      </c>
      <c r="J1175" s="1" t="s">
        <v>1243</v>
      </c>
      <c r="K1175" s="1" t="s">
        <v>1583</v>
      </c>
      <c r="L1175" s="1" t="s">
        <v>1243</v>
      </c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</row>
    <row r="1176" ht="14.25" customHeight="1">
      <c r="A1176" s="26"/>
      <c r="B1176" s="3"/>
      <c r="C1176" s="42"/>
      <c r="D1176" s="8"/>
      <c r="E1176" s="8"/>
      <c r="F1176" s="8"/>
      <c r="G1176" s="8"/>
      <c r="H1176" s="8"/>
      <c r="I1176" s="1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</row>
    <row r="1177" ht="14.25" customHeight="1">
      <c r="A1177" s="91" t="s">
        <v>1713</v>
      </c>
      <c r="B1177" s="93">
        <v>44771.0</v>
      </c>
      <c r="C1177" s="42" t="s">
        <v>514</v>
      </c>
      <c r="D1177" s="1" t="s">
        <v>1330</v>
      </c>
      <c r="E1177" s="1" t="s">
        <v>1714</v>
      </c>
      <c r="F1177" s="1" t="s">
        <v>58</v>
      </c>
      <c r="G1177" s="1" t="s">
        <v>1368</v>
      </c>
      <c r="H1177" s="1" t="s">
        <v>1425</v>
      </c>
      <c r="I1177" s="1" t="s">
        <v>1310</v>
      </c>
      <c r="J1177" s="1" t="s">
        <v>1243</v>
      </c>
      <c r="K1177" s="1" t="s">
        <v>1583</v>
      </c>
      <c r="L1177" s="1" t="s">
        <v>1243</v>
      </c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</row>
    <row r="1178" ht="14.25" customHeight="1">
      <c r="A1178" s="122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</row>
    <row r="1179" ht="14.25" customHeight="1">
      <c r="A1179" s="96" t="s">
        <v>1715</v>
      </c>
      <c r="B1179" s="97">
        <v>44771.0</v>
      </c>
      <c r="C1179" s="98" t="s">
        <v>1716</v>
      </c>
      <c r="D1179" s="1" t="s">
        <v>1330</v>
      </c>
      <c r="E1179" s="1" t="s">
        <v>1717</v>
      </c>
      <c r="F1179" s="1" t="s">
        <v>1405</v>
      </c>
      <c r="G1179" s="1" t="s">
        <v>1143</v>
      </c>
      <c r="H1179" s="17" t="s">
        <v>1718</v>
      </c>
      <c r="I1179" s="1" t="s">
        <v>1719</v>
      </c>
      <c r="J1179" s="1" t="s">
        <v>1720</v>
      </c>
      <c r="K1179" s="1" t="s">
        <v>1721</v>
      </c>
      <c r="L1179" s="8"/>
      <c r="M1179" s="1" t="s">
        <v>1327</v>
      </c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</row>
    <row r="1180" ht="14.25" customHeight="1">
      <c r="A1180" s="36"/>
      <c r="B1180" s="3"/>
      <c r="C1180" s="3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</row>
    <row r="1181" ht="14.25" customHeight="1">
      <c r="A1181" s="91" t="s">
        <v>1722</v>
      </c>
      <c r="B1181" s="93">
        <v>44771.0</v>
      </c>
      <c r="C1181" s="42" t="s">
        <v>1723</v>
      </c>
      <c r="D1181" s="1" t="s">
        <v>1330</v>
      </c>
      <c r="E1181" s="1" t="s">
        <v>1724</v>
      </c>
      <c r="F1181" s="1" t="s">
        <v>881</v>
      </c>
      <c r="G1181" s="1" t="s">
        <v>901</v>
      </c>
      <c r="H1181" s="8"/>
      <c r="I1181" s="1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</row>
    <row r="1182" ht="14.25" customHeight="1">
      <c r="A1182" s="26"/>
      <c r="B1182" s="8"/>
      <c r="C1182" s="8"/>
      <c r="D1182" s="8"/>
      <c r="E1182" s="8"/>
      <c r="F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</row>
    <row r="1183" ht="14.25" customHeight="1">
      <c r="A1183" s="91" t="s">
        <v>1725</v>
      </c>
      <c r="B1183" s="93">
        <v>44776.0</v>
      </c>
      <c r="C1183" s="42" t="s">
        <v>1726</v>
      </c>
      <c r="D1183" s="1" t="s">
        <v>804</v>
      </c>
      <c r="E1183" s="8"/>
      <c r="F1183" s="1" t="s">
        <v>1727</v>
      </c>
      <c r="G1183" s="1" t="s">
        <v>1728</v>
      </c>
      <c r="H1183" s="8"/>
      <c r="I1183" s="1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</row>
    <row r="1184" ht="14.25" customHeight="1">
      <c r="A1184" s="26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</row>
    <row r="1185" ht="14.25" customHeight="1">
      <c r="A1185" s="91" t="s">
        <v>1729</v>
      </c>
      <c r="B1185" s="93">
        <v>44778.0</v>
      </c>
      <c r="C1185" s="119" t="s">
        <v>1730</v>
      </c>
      <c r="D1185" s="1" t="s">
        <v>1731</v>
      </c>
      <c r="E1185" s="1" t="s">
        <v>1732</v>
      </c>
      <c r="F1185" s="1" t="s">
        <v>1733</v>
      </c>
      <c r="G1185" s="1" t="s">
        <v>1734</v>
      </c>
      <c r="H1185" s="1" t="s">
        <v>1253</v>
      </c>
      <c r="I1185" s="1" t="s">
        <v>1310</v>
      </c>
      <c r="J1185" s="8"/>
      <c r="K1185" s="8"/>
      <c r="L1185" s="8"/>
      <c r="M1185" s="1" t="s">
        <v>1381</v>
      </c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</row>
    <row r="1186" ht="14.25" customHeight="1">
      <c r="A1186" s="36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</row>
    <row r="1187" ht="14.25" customHeight="1">
      <c r="A1187" s="91" t="s">
        <v>1735</v>
      </c>
      <c r="B1187" s="93">
        <v>44778.0</v>
      </c>
      <c r="C1187" s="42" t="s">
        <v>1736</v>
      </c>
      <c r="D1187" s="1" t="s">
        <v>1737</v>
      </c>
      <c r="E1187" s="8"/>
      <c r="F1187" s="1" t="s">
        <v>1091</v>
      </c>
      <c r="G1187" s="1" t="s">
        <v>1143</v>
      </c>
      <c r="H1187" s="1" t="s">
        <v>1253</v>
      </c>
      <c r="I1187" s="1" t="s">
        <v>1139</v>
      </c>
      <c r="J1187" s="17" t="s">
        <v>1243</v>
      </c>
      <c r="K1187" s="1" t="s">
        <v>1583</v>
      </c>
      <c r="L1187" s="1" t="s">
        <v>1738</v>
      </c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</row>
    <row r="1188" ht="14.25" customHeight="1">
      <c r="A1188" s="26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</row>
    <row r="1189" ht="14.25" customHeight="1">
      <c r="A1189" s="91" t="s">
        <v>1739</v>
      </c>
      <c r="B1189" s="93">
        <v>44778.0</v>
      </c>
      <c r="C1189" s="42" t="s">
        <v>1740</v>
      </c>
      <c r="D1189" s="1" t="s">
        <v>1731</v>
      </c>
      <c r="E1189" s="1" t="s">
        <v>1741</v>
      </c>
      <c r="F1189" s="1" t="s">
        <v>1742</v>
      </c>
      <c r="G1189" s="1" t="s">
        <v>1743</v>
      </c>
      <c r="H1189" s="8"/>
      <c r="I1189" s="1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</row>
    <row r="1190" ht="14.25" customHeight="1">
      <c r="A1190" s="26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</row>
    <row r="1191" ht="14.25" customHeight="1">
      <c r="A1191" s="96" t="s">
        <v>1744</v>
      </c>
      <c r="B1191" s="97">
        <v>44784.0</v>
      </c>
      <c r="C1191" s="98" t="s">
        <v>1745</v>
      </c>
      <c r="D1191" s="1" t="s">
        <v>1746</v>
      </c>
      <c r="E1191" s="8"/>
      <c r="F1191" s="1" t="s">
        <v>1747</v>
      </c>
      <c r="G1191" s="1" t="s">
        <v>1748</v>
      </c>
      <c r="H1191" s="17" t="s">
        <v>1749</v>
      </c>
      <c r="I1191" s="1" t="s">
        <v>34</v>
      </c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</row>
    <row r="1192" ht="14.25" customHeight="1">
      <c r="A1192" s="36"/>
      <c r="B1192" s="3"/>
      <c r="C1192" s="3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</row>
    <row r="1193" ht="14.25" customHeight="1">
      <c r="A1193" s="96" t="s">
        <v>1750</v>
      </c>
      <c r="B1193" s="97">
        <v>44784.0</v>
      </c>
      <c r="C1193" s="98" t="s">
        <v>1482</v>
      </c>
      <c r="D1193" s="1" t="s">
        <v>1746</v>
      </c>
      <c r="E1193" s="8"/>
      <c r="F1193" s="1" t="s">
        <v>1751</v>
      </c>
      <c r="G1193" s="1" t="s">
        <v>1752</v>
      </c>
      <c r="H1193" s="17" t="s">
        <v>1753</v>
      </c>
      <c r="I1193" s="1" t="s">
        <v>34</v>
      </c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</row>
    <row r="1194" ht="14.25" customHeight="1">
      <c r="A1194" s="36"/>
      <c r="B1194" s="3"/>
      <c r="C1194" s="3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</row>
    <row r="1195" ht="14.25" customHeight="1">
      <c r="A1195" s="91" t="s">
        <v>1754</v>
      </c>
      <c r="B1195" s="93">
        <v>44784.0</v>
      </c>
      <c r="C1195" s="42" t="s">
        <v>1755</v>
      </c>
      <c r="D1195" s="1" t="s">
        <v>1746</v>
      </c>
      <c r="E1195" s="8"/>
      <c r="F1195" s="1" t="s">
        <v>1756</v>
      </c>
      <c r="G1195" s="1" t="s">
        <v>1757</v>
      </c>
      <c r="H1195" s="8"/>
      <c r="I1195" s="1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</row>
    <row r="1196" ht="14.25" customHeight="1">
      <c r="A1196" s="26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</row>
    <row r="1197" ht="14.25" customHeight="1">
      <c r="A1197" s="91" t="s">
        <v>1758</v>
      </c>
      <c r="B1197" s="123">
        <v>44785.0</v>
      </c>
      <c r="C1197" s="124" t="s">
        <v>1759</v>
      </c>
      <c r="D1197" s="1" t="s">
        <v>1330</v>
      </c>
      <c r="E1197" s="1" t="s">
        <v>1760</v>
      </c>
      <c r="F1197" s="1" t="s">
        <v>1332</v>
      </c>
      <c r="G1197" s="1" t="s">
        <v>1551</v>
      </c>
      <c r="H1197" s="1" t="s">
        <v>1761</v>
      </c>
      <c r="I1197" s="1" t="s">
        <v>1139</v>
      </c>
      <c r="J1197" s="1" t="s">
        <v>1243</v>
      </c>
      <c r="K1197" s="1" t="s">
        <v>1583</v>
      </c>
      <c r="L1197" s="1" t="s">
        <v>1300</v>
      </c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</row>
    <row r="1198" ht="14.25" customHeight="1">
      <c r="A1198" s="36"/>
      <c r="B1198" s="125"/>
      <c r="C1198" s="125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</row>
    <row r="1199" ht="14.25" customHeight="1">
      <c r="A1199" s="96" t="s">
        <v>1762</v>
      </c>
      <c r="B1199" s="126">
        <v>44785.0</v>
      </c>
      <c r="C1199" s="127" t="s">
        <v>1763</v>
      </c>
      <c r="D1199" s="1" t="s">
        <v>1330</v>
      </c>
      <c r="E1199" s="1" t="s">
        <v>1764</v>
      </c>
      <c r="F1199" s="1" t="s">
        <v>1495</v>
      </c>
      <c r="G1199" s="1" t="s">
        <v>1765</v>
      </c>
      <c r="H1199" s="1" t="s">
        <v>1253</v>
      </c>
      <c r="I1199" s="1" t="s">
        <v>1139</v>
      </c>
      <c r="J1199" s="78" t="s">
        <v>1766</v>
      </c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</row>
    <row r="1200" ht="14.25" customHeight="1">
      <c r="A1200" s="26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</row>
    <row r="1201" ht="14.25" customHeight="1">
      <c r="A1201" s="91" t="s">
        <v>1767</v>
      </c>
      <c r="B1201" s="93">
        <v>44790.0</v>
      </c>
      <c r="C1201" s="42" t="s">
        <v>1768</v>
      </c>
      <c r="D1201" s="1" t="s">
        <v>1330</v>
      </c>
      <c r="E1201" s="1" t="s">
        <v>1769</v>
      </c>
      <c r="F1201" s="1" t="s">
        <v>822</v>
      </c>
      <c r="G1201" s="1" t="s">
        <v>1551</v>
      </c>
      <c r="H1201" s="1" t="s">
        <v>1672</v>
      </c>
      <c r="I1201" s="1" t="s">
        <v>1139</v>
      </c>
      <c r="J1201" s="1" t="s">
        <v>1243</v>
      </c>
      <c r="K1201" s="1" t="s">
        <v>1583</v>
      </c>
      <c r="L1201" s="1" t="s">
        <v>1243</v>
      </c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</row>
    <row r="1202" ht="14.25" customHeight="1">
      <c r="A1202" s="26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</row>
    <row r="1203" ht="14.25" customHeight="1">
      <c r="A1203" s="91" t="s">
        <v>1770</v>
      </c>
      <c r="B1203" s="93">
        <v>44791.0</v>
      </c>
      <c r="C1203" s="42" t="s">
        <v>1771</v>
      </c>
      <c r="D1203" s="1" t="s">
        <v>1330</v>
      </c>
      <c r="E1203" s="1" t="s">
        <v>1772</v>
      </c>
      <c r="F1203" s="1" t="s">
        <v>822</v>
      </c>
      <c r="G1203" s="1" t="s">
        <v>1773</v>
      </c>
      <c r="H1203" s="1" t="s">
        <v>1774</v>
      </c>
      <c r="I1203" s="1" t="s">
        <v>1139</v>
      </c>
      <c r="J1203" s="1" t="s">
        <v>1243</v>
      </c>
      <c r="K1203" s="1" t="s">
        <v>1775</v>
      </c>
      <c r="L1203" s="1" t="s">
        <v>1738</v>
      </c>
      <c r="M1203" s="1" t="s">
        <v>1381</v>
      </c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</row>
    <row r="1204" ht="14.25" customHeight="1">
      <c r="A1204" s="26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</row>
    <row r="1205" ht="14.25" customHeight="1">
      <c r="A1205" s="96" t="s">
        <v>1776</v>
      </c>
      <c r="B1205" s="97">
        <v>44792.0</v>
      </c>
      <c r="C1205" s="113" t="s">
        <v>1777</v>
      </c>
      <c r="D1205" s="1" t="s">
        <v>1330</v>
      </c>
      <c r="E1205" s="116" t="s">
        <v>1778</v>
      </c>
      <c r="F1205" s="1" t="s">
        <v>1779</v>
      </c>
      <c r="G1205" s="1" t="s">
        <v>1181</v>
      </c>
      <c r="H1205" s="1" t="s">
        <v>1780</v>
      </c>
      <c r="I1205" s="1" t="s">
        <v>1719</v>
      </c>
      <c r="J1205" s="1" t="s">
        <v>1721</v>
      </c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</row>
    <row r="1206" ht="14.25" customHeight="1">
      <c r="A1206" s="26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</row>
    <row r="1207" ht="14.25" customHeight="1">
      <c r="A1207" s="91" t="s">
        <v>1781</v>
      </c>
      <c r="B1207" s="93">
        <v>44796.0</v>
      </c>
      <c r="C1207" s="82" t="s">
        <v>1660</v>
      </c>
      <c r="D1207" s="1" t="s">
        <v>1330</v>
      </c>
      <c r="E1207" s="116" t="s">
        <v>1782</v>
      </c>
      <c r="F1207" s="1" t="s">
        <v>822</v>
      </c>
      <c r="G1207" s="1" t="s">
        <v>1734</v>
      </c>
      <c r="H1207" s="1" t="s">
        <v>1774</v>
      </c>
      <c r="I1207" s="1" t="s">
        <v>1719</v>
      </c>
      <c r="J1207" s="1" t="s">
        <v>1300</v>
      </c>
      <c r="K1207" s="1" t="s">
        <v>1583</v>
      </c>
      <c r="L1207" s="1" t="s">
        <v>1243</v>
      </c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</row>
    <row r="1208" ht="14.25" customHeight="1">
      <c r="A1208" s="26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</row>
    <row r="1209" ht="14.25" customHeight="1">
      <c r="A1209" s="96" t="s">
        <v>1783</v>
      </c>
      <c r="B1209" s="97">
        <v>44796.0</v>
      </c>
      <c r="C1209" s="113" t="s">
        <v>1784</v>
      </c>
      <c r="D1209" s="1" t="s">
        <v>1330</v>
      </c>
      <c r="E1209" s="116" t="s">
        <v>1785</v>
      </c>
      <c r="F1209" s="128" t="s">
        <v>1443</v>
      </c>
      <c r="G1209" s="1" t="s">
        <v>1734</v>
      </c>
      <c r="H1209" s="1" t="s">
        <v>1786</v>
      </c>
      <c r="I1209" s="1" t="s">
        <v>1719</v>
      </c>
      <c r="J1209" s="1" t="s">
        <v>1243</v>
      </c>
      <c r="K1209" s="78"/>
      <c r="L1209" s="8"/>
      <c r="M1209" s="78" t="s">
        <v>1787</v>
      </c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</row>
    <row r="1210" ht="14.25" customHeight="1">
      <c r="A1210" s="26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</row>
    <row r="1211" ht="14.25" customHeight="1">
      <c r="A1211" s="91" t="s">
        <v>1788</v>
      </c>
      <c r="B1211" s="93">
        <v>44796.0</v>
      </c>
      <c r="C1211" s="82" t="s">
        <v>1789</v>
      </c>
      <c r="D1211" s="1" t="s">
        <v>1330</v>
      </c>
      <c r="E1211" s="116" t="s">
        <v>1790</v>
      </c>
      <c r="F1211" s="129" t="s">
        <v>1443</v>
      </c>
      <c r="G1211" s="1" t="s">
        <v>1181</v>
      </c>
      <c r="H1211" s="1" t="s">
        <v>1253</v>
      </c>
      <c r="I1211" s="1" t="s">
        <v>1719</v>
      </c>
      <c r="J1211" s="1" t="s">
        <v>1791</v>
      </c>
      <c r="K1211" s="1" t="s">
        <v>1243</v>
      </c>
      <c r="L1211" s="8"/>
      <c r="M1211" s="1" t="s">
        <v>1327</v>
      </c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</row>
    <row r="1212" ht="14.25" customHeight="1">
      <c r="A1212" s="26"/>
      <c r="B1212" s="8"/>
      <c r="C1212" s="8"/>
      <c r="D1212" s="8"/>
      <c r="E1212" s="8"/>
      <c r="F1212" s="12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</row>
    <row r="1213" ht="14.25" customHeight="1">
      <c r="A1213" s="96" t="s">
        <v>1792</v>
      </c>
      <c r="B1213" s="97">
        <v>44804.0</v>
      </c>
      <c r="C1213" s="113" t="s">
        <v>1793</v>
      </c>
      <c r="D1213" s="1" t="s">
        <v>804</v>
      </c>
      <c r="E1213" s="130" t="s">
        <v>1794</v>
      </c>
      <c r="F1213" s="129" t="s">
        <v>1795</v>
      </c>
      <c r="G1213" s="1" t="s">
        <v>1734</v>
      </c>
      <c r="H1213" s="1" t="s">
        <v>1786</v>
      </c>
      <c r="I1213" s="1" t="s">
        <v>34</v>
      </c>
      <c r="J1213" s="1" t="s">
        <v>1721</v>
      </c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</row>
    <row r="1214" ht="14.25" customHeight="1">
      <c r="A1214" s="26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</row>
    <row r="1215" ht="14.25" customHeight="1">
      <c r="A1215" s="96" t="s">
        <v>1796</v>
      </c>
      <c r="B1215" s="97">
        <v>44809.0</v>
      </c>
      <c r="C1215" s="98" t="s">
        <v>1797</v>
      </c>
      <c r="D1215" s="1" t="s">
        <v>1330</v>
      </c>
      <c r="E1215" s="1" t="s">
        <v>1798</v>
      </c>
      <c r="F1215" s="1" t="s">
        <v>1495</v>
      </c>
      <c r="G1215" s="1" t="s">
        <v>1799</v>
      </c>
      <c r="H1215" s="1" t="s">
        <v>1774</v>
      </c>
      <c r="I1215" s="1" t="s">
        <v>1139</v>
      </c>
      <c r="J1215" s="78" t="s">
        <v>1766</v>
      </c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</row>
    <row r="1216" ht="14.25" customHeight="1">
      <c r="A1216" s="36"/>
      <c r="B1216" s="8"/>
      <c r="C1216" s="3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</row>
    <row r="1217" ht="14.25" customHeight="1">
      <c r="A1217" s="96" t="s">
        <v>1800</v>
      </c>
      <c r="B1217" s="97">
        <v>44809.0</v>
      </c>
      <c r="C1217" s="98" t="s">
        <v>623</v>
      </c>
      <c r="D1217" s="1" t="s">
        <v>1330</v>
      </c>
      <c r="E1217" s="1" t="s">
        <v>1801</v>
      </c>
      <c r="F1217" s="1" t="s">
        <v>1495</v>
      </c>
      <c r="G1217" s="1" t="s">
        <v>1143</v>
      </c>
      <c r="H1217" s="1" t="s">
        <v>1802</v>
      </c>
      <c r="I1217" s="1" t="s">
        <v>1139</v>
      </c>
      <c r="J1217" s="1" t="s">
        <v>1803</v>
      </c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</row>
    <row r="1218" ht="14.25" customHeight="1">
      <c r="A1218" s="26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</row>
    <row r="1219" ht="14.25" customHeight="1">
      <c r="A1219" s="91" t="s">
        <v>1804</v>
      </c>
      <c r="B1219" s="93">
        <v>44813.0</v>
      </c>
      <c r="C1219" s="42" t="s">
        <v>1805</v>
      </c>
      <c r="D1219" s="1" t="s">
        <v>1330</v>
      </c>
      <c r="E1219" s="1" t="s">
        <v>1806</v>
      </c>
      <c r="F1219" s="1" t="s">
        <v>58</v>
      </c>
      <c r="G1219" s="1" t="s">
        <v>1346</v>
      </c>
      <c r="H1219" s="1" t="s">
        <v>1774</v>
      </c>
      <c r="I1219" s="1" t="s">
        <v>1139</v>
      </c>
      <c r="J1219" s="1" t="s">
        <v>1243</v>
      </c>
      <c r="K1219" s="1" t="s">
        <v>1583</v>
      </c>
      <c r="L1219" s="1" t="s">
        <v>1243</v>
      </c>
      <c r="M1219" s="1" t="s">
        <v>1327</v>
      </c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</row>
    <row r="1220" ht="14.25" customHeight="1">
      <c r="A1220" s="26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</row>
    <row r="1221" ht="14.25" customHeight="1">
      <c r="A1221" s="91" t="s">
        <v>1807</v>
      </c>
      <c r="B1221" s="93">
        <v>44816.0</v>
      </c>
      <c r="C1221" s="42" t="s">
        <v>1808</v>
      </c>
      <c r="D1221" s="1" t="s">
        <v>1330</v>
      </c>
      <c r="E1221" s="1" t="s">
        <v>1809</v>
      </c>
      <c r="F1221" s="1" t="s">
        <v>58</v>
      </c>
      <c r="G1221" s="1" t="s">
        <v>1143</v>
      </c>
      <c r="H1221" s="1" t="s">
        <v>1774</v>
      </c>
      <c r="I1221" s="1" t="s">
        <v>1139</v>
      </c>
      <c r="J1221" s="1" t="s">
        <v>1243</v>
      </c>
      <c r="K1221" s="1" t="s">
        <v>1583</v>
      </c>
      <c r="L1221" s="1" t="s">
        <v>1243</v>
      </c>
      <c r="M1221" s="1" t="s">
        <v>1327</v>
      </c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</row>
    <row r="1222" ht="14.25" customHeight="1">
      <c r="A1222" s="26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</row>
    <row r="1223" ht="14.25" customHeight="1">
      <c r="A1223" s="91" t="s">
        <v>1810</v>
      </c>
      <c r="B1223" s="93">
        <v>44818.0</v>
      </c>
      <c r="C1223" s="42" t="s">
        <v>1811</v>
      </c>
      <c r="D1223" s="1" t="s">
        <v>1330</v>
      </c>
      <c r="E1223" s="1" t="s">
        <v>1812</v>
      </c>
      <c r="F1223" s="1" t="s">
        <v>1091</v>
      </c>
      <c r="G1223" s="1" t="s">
        <v>1368</v>
      </c>
      <c r="H1223" s="1" t="s">
        <v>1774</v>
      </c>
      <c r="I1223" s="1" t="s">
        <v>1139</v>
      </c>
      <c r="J1223" s="1" t="s">
        <v>1300</v>
      </c>
      <c r="K1223" s="1" t="s">
        <v>1813</v>
      </c>
      <c r="L1223" s="1" t="s">
        <v>1243</v>
      </c>
      <c r="M1223" s="1" t="s">
        <v>1327</v>
      </c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</row>
    <row r="1224" ht="14.25" customHeight="1">
      <c r="A1224" s="36"/>
      <c r="B1224" s="3"/>
      <c r="C1224" s="3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</row>
    <row r="1225" ht="14.25" customHeight="1">
      <c r="A1225" s="131" t="s">
        <v>1814</v>
      </c>
      <c r="B1225" s="93">
        <v>44818.0</v>
      </c>
      <c r="C1225" s="94" t="s">
        <v>480</v>
      </c>
      <c r="D1225" s="1" t="s">
        <v>804</v>
      </c>
      <c r="E1225" s="17" t="s">
        <v>1815</v>
      </c>
      <c r="F1225" s="17" t="s">
        <v>1816</v>
      </c>
      <c r="G1225" s="17" t="s">
        <v>1817</v>
      </c>
      <c r="H1225" s="132"/>
      <c r="I1225" s="17" t="s">
        <v>1139</v>
      </c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</row>
    <row r="1226" ht="14.25" customHeight="1">
      <c r="A1226" s="122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</row>
    <row r="1227" ht="14.25" customHeight="1">
      <c r="A1227" s="91" t="s">
        <v>1818</v>
      </c>
      <c r="B1227" s="93">
        <v>44819.0</v>
      </c>
      <c r="C1227" s="42" t="s">
        <v>1811</v>
      </c>
      <c r="D1227" s="1" t="s">
        <v>1330</v>
      </c>
      <c r="E1227" s="1" t="s">
        <v>1819</v>
      </c>
      <c r="F1227" s="1" t="s">
        <v>822</v>
      </c>
      <c r="G1227" s="1" t="s">
        <v>1143</v>
      </c>
      <c r="H1227" s="1" t="s">
        <v>1820</v>
      </c>
      <c r="I1227" s="1" t="s">
        <v>1139</v>
      </c>
      <c r="J1227" s="1" t="s">
        <v>1300</v>
      </c>
      <c r="K1227" s="1" t="s">
        <v>1821</v>
      </c>
      <c r="L1227" s="1" t="s">
        <v>1300</v>
      </c>
      <c r="M1227" s="1" t="s">
        <v>1327</v>
      </c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</row>
    <row r="1228" ht="14.25" customHeight="1">
      <c r="A1228" s="26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</row>
    <row r="1229" ht="14.25" customHeight="1">
      <c r="A1229" s="96" t="s">
        <v>1822</v>
      </c>
      <c r="B1229" s="97">
        <v>44820.0</v>
      </c>
      <c r="C1229" s="98" t="s">
        <v>927</v>
      </c>
      <c r="D1229" s="1" t="s">
        <v>1330</v>
      </c>
      <c r="E1229" s="1" t="s">
        <v>1823</v>
      </c>
      <c r="F1229" s="1" t="s">
        <v>928</v>
      </c>
      <c r="G1229" s="1" t="s">
        <v>1368</v>
      </c>
      <c r="H1229" s="1" t="s">
        <v>1824</v>
      </c>
      <c r="I1229" s="1" t="s">
        <v>1467</v>
      </c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</row>
    <row r="1230" ht="14.25" customHeight="1">
      <c r="A1230" s="26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</row>
    <row r="1231" ht="14.25" customHeight="1">
      <c r="A1231" s="96" t="s">
        <v>1825</v>
      </c>
      <c r="B1231" s="97">
        <v>44824.0</v>
      </c>
      <c r="C1231" s="98" t="s">
        <v>1826</v>
      </c>
      <c r="D1231" s="1" t="s">
        <v>1330</v>
      </c>
      <c r="E1231" s="1" t="s">
        <v>1827</v>
      </c>
      <c r="F1231" s="1" t="s">
        <v>1495</v>
      </c>
      <c r="G1231" s="1" t="s">
        <v>1181</v>
      </c>
      <c r="H1231" s="1" t="s">
        <v>1828</v>
      </c>
      <c r="I1231" s="1" t="s">
        <v>1310</v>
      </c>
      <c r="J1231" s="1" t="s">
        <v>1829</v>
      </c>
      <c r="K1231" s="1" t="s">
        <v>1830</v>
      </c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</row>
    <row r="1232" ht="14.25" customHeight="1">
      <c r="A1232" s="26"/>
      <c r="B1232" s="8"/>
      <c r="C1232" s="8"/>
      <c r="D1232" s="8"/>
      <c r="E1232" s="8"/>
      <c r="F1232" s="8"/>
      <c r="G1232" s="8"/>
      <c r="H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</row>
    <row r="1233" ht="14.25" customHeight="1">
      <c r="A1233" s="133" t="s">
        <v>903</v>
      </c>
      <c r="B1233" s="93">
        <v>44827.0</v>
      </c>
      <c r="C1233" s="42" t="s">
        <v>1831</v>
      </c>
      <c r="D1233" s="1" t="s">
        <v>1330</v>
      </c>
      <c r="E1233" s="1" t="s">
        <v>1832</v>
      </c>
      <c r="F1233" s="1" t="s">
        <v>1833</v>
      </c>
      <c r="G1233" s="1" t="s">
        <v>1834</v>
      </c>
      <c r="H1233" s="1"/>
      <c r="I1233" s="1" t="s">
        <v>1712</v>
      </c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</row>
    <row r="1234" ht="14.25" customHeight="1">
      <c r="A1234" s="36"/>
      <c r="B1234" s="3"/>
      <c r="C1234" s="3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</row>
    <row r="1235" ht="14.25" customHeight="1">
      <c r="A1235" s="133" t="s">
        <v>1376</v>
      </c>
      <c r="B1235" s="93">
        <v>44827.0</v>
      </c>
      <c r="C1235" s="42" t="s">
        <v>1831</v>
      </c>
      <c r="D1235" s="1" t="s">
        <v>1330</v>
      </c>
      <c r="E1235" s="1" t="s">
        <v>1835</v>
      </c>
      <c r="F1235" s="1" t="s">
        <v>1833</v>
      </c>
      <c r="G1235" s="1" t="s">
        <v>1333</v>
      </c>
      <c r="H1235" s="1" t="s">
        <v>1836</v>
      </c>
      <c r="I1235" s="1" t="s">
        <v>1139</v>
      </c>
      <c r="J1235" s="1" t="s">
        <v>1243</v>
      </c>
      <c r="K1235" s="1" t="s">
        <v>1837</v>
      </c>
      <c r="L1235" s="1" t="s">
        <v>1243</v>
      </c>
      <c r="M1235" s="1" t="s">
        <v>1327</v>
      </c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</row>
    <row r="1236" ht="14.25" customHeight="1">
      <c r="A1236" s="36"/>
      <c r="B1236" s="3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</row>
    <row r="1237" ht="14.25" customHeight="1">
      <c r="A1237" s="91" t="s">
        <v>1838</v>
      </c>
      <c r="B1237" s="93">
        <v>44827.0</v>
      </c>
      <c r="C1237" s="42" t="s">
        <v>1839</v>
      </c>
      <c r="D1237" s="1" t="s">
        <v>1330</v>
      </c>
      <c r="E1237" s="1" t="s">
        <v>1840</v>
      </c>
      <c r="F1237" s="1" t="s">
        <v>1091</v>
      </c>
      <c r="G1237" s="1" t="s">
        <v>894</v>
      </c>
      <c r="H1237" s="8"/>
      <c r="I1237" s="1" t="s">
        <v>1712</v>
      </c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</row>
    <row r="1238" ht="14.25" customHeight="1">
      <c r="A1238" s="36"/>
      <c r="B1238" s="3"/>
      <c r="C1238" s="3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</row>
    <row r="1239" ht="14.25" customHeight="1">
      <c r="A1239" s="91" t="s">
        <v>1841</v>
      </c>
      <c r="B1239" s="93">
        <v>44827.0</v>
      </c>
      <c r="C1239" s="42" t="s">
        <v>1839</v>
      </c>
      <c r="D1239" s="1" t="s">
        <v>1330</v>
      </c>
      <c r="E1239" s="1" t="s">
        <v>1842</v>
      </c>
      <c r="F1239" s="1" t="s">
        <v>1091</v>
      </c>
      <c r="G1239" s="1" t="s">
        <v>894</v>
      </c>
      <c r="H1239" s="8"/>
      <c r="I1239" s="1" t="s">
        <v>1139</v>
      </c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</row>
    <row r="1240" ht="14.25" customHeight="1">
      <c r="A1240" s="26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</row>
    <row r="1241" ht="14.25" customHeight="1">
      <c r="A1241" s="91" t="s">
        <v>1843</v>
      </c>
      <c r="B1241" s="93">
        <v>44834.0</v>
      </c>
      <c r="C1241" s="42" t="s">
        <v>1844</v>
      </c>
      <c r="D1241" s="1" t="s">
        <v>1330</v>
      </c>
      <c r="E1241" s="1" t="s">
        <v>1845</v>
      </c>
      <c r="F1241" s="1" t="s">
        <v>822</v>
      </c>
      <c r="G1241" s="1" t="s">
        <v>1846</v>
      </c>
      <c r="H1241" s="1" t="s">
        <v>1847</v>
      </c>
      <c r="I1241" s="1" t="s">
        <v>1310</v>
      </c>
      <c r="J1241" s="1" t="s">
        <v>1300</v>
      </c>
      <c r="K1241" s="1" t="s">
        <v>1848</v>
      </c>
      <c r="L1241" s="1" t="s">
        <v>1243</v>
      </c>
      <c r="M1241" s="1" t="s">
        <v>1327</v>
      </c>
      <c r="N1241" s="1" t="s">
        <v>1243</v>
      </c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</row>
    <row r="1242" ht="14.25" customHeight="1">
      <c r="A1242" s="36"/>
      <c r="B1242" s="3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</row>
    <row r="1243" ht="14.25" customHeight="1">
      <c r="A1243" s="96" t="s">
        <v>1849</v>
      </c>
      <c r="B1243" s="97">
        <v>44834.0</v>
      </c>
      <c r="C1243" s="98" t="s">
        <v>1797</v>
      </c>
      <c r="D1243" s="1" t="s">
        <v>1330</v>
      </c>
      <c r="E1243" s="111" t="s">
        <v>1850</v>
      </c>
      <c r="F1243" s="1" t="s">
        <v>1405</v>
      </c>
      <c r="G1243" s="1" t="s">
        <v>1851</v>
      </c>
      <c r="H1243" s="1" t="s">
        <v>1847</v>
      </c>
      <c r="I1243" s="1" t="s">
        <v>1467</v>
      </c>
      <c r="J1243" s="1" t="s">
        <v>1243</v>
      </c>
      <c r="K1243" s="78" t="s">
        <v>1852</v>
      </c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</row>
    <row r="1244" ht="14.25" customHeight="1">
      <c r="A1244" s="36"/>
      <c r="B1244" s="3"/>
      <c r="C1244" s="3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</row>
    <row r="1245" ht="14.25" customHeight="1">
      <c r="A1245" s="96" t="s">
        <v>1853</v>
      </c>
      <c r="B1245" s="97">
        <v>44834.0</v>
      </c>
      <c r="C1245" s="98" t="s">
        <v>1854</v>
      </c>
      <c r="D1245" s="1" t="s">
        <v>1330</v>
      </c>
      <c r="E1245" s="17" t="s">
        <v>1855</v>
      </c>
      <c r="F1245" s="1" t="s">
        <v>1405</v>
      </c>
      <c r="G1245" s="1" t="s">
        <v>1851</v>
      </c>
      <c r="H1245" s="1" t="s">
        <v>1856</v>
      </c>
      <c r="I1245" s="1" t="s">
        <v>1467</v>
      </c>
      <c r="J1245" s="1" t="s">
        <v>1300</v>
      </c>
      <c r="K1245" s="1" t="s">
        <v>1857</v>
      </c>
      <c r="L1245" s="8"/>
      <c r="M1245" s="1" t="s">
        <v>1327</v>
      </c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</row>
    <row r="1246" ht="14.25" customHeight="1">
      <c r="A1246" s="36"/>
      <c r="B1246" s="3"/>
      <c r="C1246" s="3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</row>
    <row r="1247" ht="14.25" customHeight="1">
      <c r="A1247" s="91" t="s">
        <v>1858</v>
      </c>
      <c r="B1247" s="93">
        <v>44834.0</v>
      </c>
      <c r="C1247" s="42" t="s">
        <v>1859</v>
      </c>
      <c r="D1247" s="1" t="s">
        <v>1860</v>
      </c>
      <c r="E1247" s="1" t="s">
        <v>1861</v>
      </c>
      <c r="F1247" s="1" t="s">
        <v>1862</v>
      </c>
      <c r="G1247" s="1" t="s">
        <v>1863</v>
      </c>
      <c r="H1247" s="1" t="s">
        <v>1847</v>
      </c>
      <c r="I1247" s="1" t="s">
        <v>1310</v>
      </c>
      <c r="J1247" s="1" t="s">
        <v>1300</v>
      </c>
      <c r="K1247" s="1" t="s">
        <v>1583</v>
      </c>
      <c r="L1247" s="1" t="s">
        <v>1300</v>
      </c>
      <c r="M1247" s="1" t="s">
        <v>1327</v>
      </c>
      <c r="N1247" s="1" t="s">
        <v>1243</v>
      </c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</row>
    <row r="1248" ht="14.25" customHeight="1">
      <c r="A1248" s="26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</row>
    <row r="1249" ht="14.25" customHeight="1">
      <c r="A1249" s="91" t="s">
        <v>1864</v>
      </c>
      <c r="B1249" s="93">
        <v>44837.0</v>
      </c>
      <c r="C1249" s="42" t="s">
        <v>1865</v>
      </c>
      <c r="D1249" s="1" t="s">
        <v>1866</v>
      </c>
      <c r="E1249" s="1" t="s">
        <v>1867</v>
      </c>
      <c r="F1249" s="1" t="s">
        <v>1862</v>
      </c>
      <c r="G1249" s="1" t="s">
        <v>1868</v>
      </c>
      <c r="H1249" s="1" t="s">
        <v>1847</v>
      </c>
      <c r="I1249" s="1" t="s">
        <v>1869</v>
      </c>
      <c r="J1249" s="1" t="s">
        <v>1300</v>
      </c>
      <c r="K1249" s="1" t="s">
        <v>1583</v>
      </c>
      <c r="L1249" s="1" t="s">
        <v>1243</v>
      </c>
      <c r="M1249" s="1" t="s">
        <v>1327</v>
      </c>
      <c r="N1249" s="1" t="s">
        <v>1243</v>
      </c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</row>
    <row r="1250" ht="14.25" customHeight="1">
      <c r="A1250" s="36"/>
      <c r="B1250" s="3"/>
      <c r="C1250" s="3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</row>
    <row r="1251" ht="14.25" customHeight="1">
      <c r="A1251" s="91" t="s">
        <v>1870</v>
      </c>
      <c r="B1251" s="93">
        <v>44837.0</v>
      </c>
      <c r="C1251" s="42" t="s">
        <v>1871</v>
      </c>
      <c r="D1251" s="1" t="s">
        <v>1330</v>
      </c>
      <c r="E1251" s="1" t="s">
        <v>1872</v>
      </c>
      <c r="F1251" s="1" t="s">
        <v>386</v>
      </c>
      <c r="G1251" s="1" t="s">
        <v>825</v>
      </c>
      <c r="H1251" s="8"/>
      <c r="I1251" s="1" t="s">
        <v>1869</v>
      </c>
      <c r="J1251" s="1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</row>
    <row r="1252" ht="14.25" customHeight="1">
      <c r="A1252" s="36"/>
      <c r="B1252" s="3"/>
      <c r="C1252" s="3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</row>
    <row r="1253" ht="14.25" customHeight="1">
      <c r="A1253" s="96" t="s">
        <v>1873</v>
      </c>
      <c r="B1253" s="97">
        <v>44839.0</v>
      </c>
      <c r="C1253" s="98" t="s">
        <v>1256</v>
      </c>
      <c r="D1253" s="1" t="s">
        <v>1866</v>
      </c>
      <c r="E1253" s="109" t="s">
        <v>1874</v>
      </c>
      <c r="F1253" s="1" t="s">
        <v>1443</v>
      </c>
      <c r="G1253" s="1" t="s">
        <v>1368</v>
      </c>
      <c r="H1253" s="1" t="s">
        <v>1875</v>
      </c>
      <c r="I1253" s="1" t="s">
        <v>1467</v>
      </c>
      <c r="J1253" s="1" t="s">
        <v>1243</v>
      </c>
      <c r="K1253" s="1" t="s">
        <v>1876</v>
      </c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</row>
    <row r="1254" ht="14.25" customHeight="1">
      <c r="A1254" s="36"/>
      <c r="B1254" s="3"/>
      <c r="C1254" s="3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</row>
    <row r="1255" ht="14.25" customHeight="1">
      <c r="A1255" s="96" t="s">
        <v>1877</v>
      </c>
      <c r="B1255" s="97">
        <v>44839.0</v>
      </c>
      <c r="C1255" s="98" t="s">
        <v>1878</v>
      </c>
      <c r="D1255" s="1" t="s">
        <v>1330</v>
      </c>
      <c r="E1255" s="109" t="s">
        <v>1879</v>
      </c>
      <c r="F1255" s="1" t="s">
        <v>1443</v>
      </c>
      <c r="G1255" s="1" t="s">
        <v>1368</v>
      </c>
      <c r="H1255" s="1" t="s">
        <v>1875</v>
      </c>
      <c r="I1255" s="1" t="s">
        <v>1467</v>
      </c>
      <c r="J1255" s="1" t="s">
        <v>1243</v>
      </c>
      <c r="K1255" s="1" t="s">
        <v>1880</v>
      </c>
      <c r="L1255" s="60" t="s">
        <v>1243</v>
      </c>
      <c r="M1255" s="1" t="s">
        <v>1327</v>
      </c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</row>
    <row r="1256" ht="14.25" customHeight="1">
      <c r="A1256" s="36"/>
      <c r="B1256" s="3"/>
      <c r="C1256" s="3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</row>
    <row r="1257" ht="14.25" customHeight="1">
      <c r="A1257" s="96" t="s">
        <v>1881</v>
      </c>
      <c r="B1257" s="97">
        <v>44839.0</v>
      </c>
      <c r="C1257" s="98" t="s">
        <v>1882</v>
      </c>
      <c r="D1257" s="1" t="s">
        <v>1883</v>
      </c>
      <c r="E1257" s="1" t="s">
        <v>1499</v>
      </c>
      <c r="F1257" s="1" t="s">
        <v>928</v>
      </c>
      <c r="G1257" s="1" t="s">
        <v>1368</v>
      </c>
      <c r="H1257" s="1" t="s">
        <v>1884</v>
      </c>
      <c r="I1257" s="1" t="s">
        <v>1310</v>
      </c>
      <c r="J1257" s="1" t="s">
        <v>1766</v>
      </c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</row>
    <row r="1258" ht="14.25" customHeight="1">
      <c r="A1258" s="36"/>
      <c r="B1258" s="3"/>
      <c r="C1258" s="3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</row>
    <row r="1259" ht="14.25" customHeight="1">
      <c r="A1259" s="96" t="s">
        <v>1885</v>
      </c>
      <c r="B1259" s="97">
        <v>44839.0</v>
      </c>
      <c r="C1259" s="98" t="s">
        <v>1886</v>
      </c>
      <c r="D1259" s="1" t="s">
        <v>1883</v>
      </c>
      <c r="E1259" s="1" t="s">
        <v>1499</v>
      </c>
      <c r="F1259" s="1" t="s">
        <v>928</v>
      </c>
      <c r="G1259" s="1" t="s">
        <v>1368</v>
      </c>
      <c r="H1259" s="1" t="s">
        <v>1884</v>
      </c>
      <c r="I1259" s="1" t="s">
        <v>1310</v>
      </c>
      <c r="J1259" s="1" t="s">
        <v>1766</v>
      </c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</row>
    <row r="1260" ht="14.25" customHeight="1">
      <c r="A1260" s="26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</row>
    <row r="1261" ht="14.25" customHeight="1">
      <c r="A1261" s="91" t="s">
        <v>1887</v>
      </c>
      <c r="B1261" s="93">
        <v>44841.0</v>
      </c>
      <c r="C1261" s="42" t="s">
        <v>1888</v>
      </c>
      <c r="D1261" s="1" t="s">
        <v>706</v>
      </c>
      <c r="E1261" s="8"/>
      <c r="F1261" s="1" t="s">
        <v>1889</v>
      </c>
      <c r="G1261" s="1" t="s">
        <v>1890</v>
      </c>
      <c r="H1261" s="1" t="s">
        <v>1891</v>
      </c>
      <c r="I1261" s="1" t="s">
        <v>1467</v>
      </c>
      <c r="J1261" s="1"/>
      <c r="K1261" s="8"/>
      <c r="L1261" s="8"/>
      <c r="M1261" s="1" t="s">
        <v>1327</v>
      </c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</row>
    <row r="1262" ht="14.25" customHeight="1">
      <c r="A1262" s="36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</row>
    <row r="1263" ht="14.25" customHeight="1">
      <c r="A1263" s="91" t="s">
        <v>1892</v>
      </c>
      <c r="B1263" s="93">
        <v>44841.0</v>
      </c>
      <c r="C1263" s="42" t="s">
        <v>1256</v>
      </c>
      <c r="D1263" s="1" t="s">
        <v>1330</v>
      </c>
      <c r="E1263" s="1" t="s">
        <v>1893</v>
      </c>
      <c r="F1263" s="1" t="s">
        <v>1405</v>
      </c>
      <c r="G1263" s="1" t="s">
        <v>1894</v>
      </c>
      <c r="H1263" s="1" t="s">
        <v>1895</v>
      </c>
      <c r="I1263" s="1" t="s">
        <v>1467</v>
      </c>
      <c r="J1263" s="1" t="s">
        <v>1243</v>
      </c>
      <c r="K1263" s="1" t="s">
        <v>1896</v>
      </c>
      <c r="L1263" s="1" t="s">
        <v>1243</v>
      </c>
      <c r="M1263" s="1" t="s">
        <v>1674</v>
      </c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</row>
    <row r="1264" ht="14.25" customHeight="1">
      <c r="A1264" s="26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</row>
    <row r="1265" ht="14.25" customHeight="1">
      <c r="A1265" s="91" t="s">
        <v>1897</v>
      </c>
      <c r="B1265" s="134">
        <v>44845.0</v>
      </c>
      <c r="C1265" s="42" t="s">
        <v>1898</v>
      </c>
      <c r="D1265" s="1" t="s">
        <v>1330</v>
      </c>
      <c r="E1265" s="1" t="s">
        <v>1899</v>
      </c>
      <c r="F1265" s="1" t="s">
        <v>99</v>
      </c>
      <c r="G1265" s="1" t="s">
        <v>1900</v>
      </c>
      <c r="H1265" s="1" t="s">
        <v>1499</v>
      </c>
      <c r="I1265" s="1" t="s">
        <v>1310</v>
      </c>
      <c r="J1265" s="1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</row>
    <row r="1266" ht="14.25" customHeight="1">
      <c r="A1266" s="36"/>
      <c r="B1266" s="3"/>
      <c r="C1266" s="3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</row>
    <row r="1267" ht="14.25" customHeight="1">
      <c r="A1267" s="135" t="s">
        <v>1897</v>
      </c>
      <c r="B1267" s="136">
        <v>44845.0</v>
      </c>
      <c r="C1267" s="137" t="s">
        <v>1901</v>
      </c>
      <c r="D1267" s="138" t="s">
        <v>1330</v>
      </c>
      <c r="E1267" s="138" t="s">
        <v>1902</v>
      </c>
      <c r="F1267" s="138" t="s">
        <v>822</v>
      </c>
      <c r="G1267" s="138" t="s">
        <v>1890</v>
      </c>
      <c r="H1267" s="138" t="s">
        <v>1895</v>
      </c>
      <c r="I1267" s="138" t="s">
        <v>1310</v>
      </c>
      <c r="J1267" s="138" t="s">
        <v>1243</v>
      </c>
      <c r="K1267" s="139"/>
      <c r="L1267" s="139"/>
      <c r="M1267" s="139"/>
      <c r="N1267" s="139"/>
      <c r="O1267" s="139"/>
      <c r="P1267" s="139"/>
      <c r="Q1267" s="139"/>
      <c r="R1267" s="139"/>
      <c r="S1267" s="139"/>
      <c r="T1267" s="139"/>
      <c r="U1267" s="139"/>
      <c r="V1267" s="139"/>
      <c r="W1267" s="139"/>
      <c r="X1267" s="139"/>
      <c r="Y1267" s="139"/>
      <c r="Z1267" s="139"/>
      <c r="AA1267" s="139"/>
      <c r="AB1267" s="139"/>
      <c r="AC1267" s="139"/>
    </row>
    <row r="1268" ht="14.25" customHeight="1">
      <c r="A1268" s="36"/>
      <c r="B1268" s="3"/>
      <c r="C1268" s="3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</row>
    <row r="1269" ht="14.25" customHeight="1">
      <c r="A1269" s="91" t="s">
        <v>1903</v>
      </c>
      <c r="B1269" s="134">
        <v>44845.0</v>
      </c>
      <c r="C1269" s="42" t="s">
        <v>1904</v>
      </c>
      <c r="D1269" s="1" t="s">
        <v>1575</v>
      </c>
      <c r="E1269" s="1" t="s">
        <v>1905</v>
      </c>
      <c r="F1269" s="1" t="s">
        <v>58</v>
      </c>
      <c r="G1269" s="1" t="s">
        <v>1890</v>
      </c>
      <c r="H1269" s="1" t="s">
        <v>1895</v>
      </c>
      <c r="I1269" s="1" t="s">
        <v>1310</v>
      </c>
      <c r="J1269" s="1" t="s">
        <v>1300</v>
      </c>
      <c r="K1269" s="1" t="s">
        <v>1684</v>
      </c>
      <c r="L1269" s="1" t="s">
        <v>1243</v>
      </c>
      <c r="M1269" s="1" t="s">
        <v>1381</v>
      </c>
      <c r="N1269" s="1" t="s">
        <v>1300</v>
      </c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</row>
    <row r="1270" ht="14.25" customHeight="1">
      <c r="A1270" s="26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</row>
    <row r="1271" ht="14.25" customHeight="1">
      <c r="A1271" s="133" t="s">
        <v>1906</v>
      </c>
      <c r="B1271" s="134">
        <v>44851.0</v>
      </c>
      <c r="C1271" s="42" t="s">
        <v>1907</v>
      </c>
      <c r="D1271" s="1" t="s">
        <v>1330</v>
      </c>
      <c r="E1271" s="128" t="s">
        <v>41</v>
      </c>
      <c r="F1271" s="1" t="s">
        <v>58</v>
      </c>
      <c r="G1271" s="1" t="s">
        <v>1368</v>
      </c>
      <c r="H1271" s="1" t="s">
        <v>1895</v>
      </c>
      <c r="I1271" s="1" t="s">
        <v>1139</v>
      </c>
      <c r="J1271" s="1" t="s">
        <v>1300</v>
      </c>
      <c r="K1271" s="1" t="s">
        <v>1908</v>
      </c>
      <c r="L1271" s="1" t="s">
        <v>1243</v>
      </c>
      <c r="M1271" s="1" t="s">
        <v>1674</v>
      </c>
      <c r="N1271" s="1" t="s">
        <v>1243</v>
      </c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</row>
    <row r="1272" ht="14.25" customHeight="1">
      <c r="A1272" s="26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</row>
    <row r="1273" ht="14.25" customHeight="1">
      <c r="A1273" s="91" t="s">
        <v>1909</v>
      </c>
      <c r="B1273" s="134">
        <v>44853.0</v>
      </c>
      <c r="C1273" s="42" t="s">
        <v>1910</v>
      </c>
      <c r="D1273" s="1" t="s">
        <v>1911</v>
      </c>
      <c r="E1273" s="109" t="s">
        <v>1912</v>
      </c>
      <c r="F1273" s="1" t="s">
        <v>1443</v>
      </c>
      <c r="G1273" s="1" t="s">
        <v>1368</v>
      </c>
      <c r="H1273" s="1" t="s">
        <v>1913</v>
      </c>
      <c r="I1273" s="1" t="s">
        <v>1467</v>
      </c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</row>
    <row r="1274" ht="14.25" customHeight="1">
      <c r="A1274" s="36"/>
      <c r="B1274" s="8"/>
      <c r="C1274" s="3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</row>
    <row r="1275" ht="14.25" customHeight="1">
      <c r="A1275" s="91" t="s">
        <v>1914</v>
      </c>
      <c r="B1275" s="134">
        <v>44853.0</v>
      </c>
      <c r="C1275" s="42" t="s">
        <v>1915</v>
      </c>
      <c r="D1275" s="1" t="s">
        <v>1911</v>
      </c>
      <c r="E1275" s="109" t="s">
        <v>1916</v>
      </c>
      <c r="F1275" s="1" t="s">
        <v>386</v>
      </c>
      <c r="G1275" s="1" t="s">
        <v>1368</v>
      </c>
      <c r="H1275" s="1" t="s">
        <v>1895</v>
      </c>
      <c r="I1275" s="1" t="s">
        <v>1467</v>
      </c>
      <c r="J1275" s="1" t="s">
        <v>1243</v>
      </c>
      <c r="K1275" s="1" t="s">
        <v>1559</v>
      </c>
      <c r="L1275" s="1" t="s">
        <v>1243</v>
      </c>
      <c r="M1275" s="1" t="s">
        <v>1381</v>
      </c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</row>
    <row r="1276" ht="14.25" customHeight="1">
      <c r="A1276" s="36"/>
      <c r="B1276" s="8"/>
      <c r="C1276" s="3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</row>
    <row r="1277" ht="14.25" customHeight="1">
      <c r="A1277" s="91" t="s">
        <v>1917</v>
      </c>
      <c r="B1277" s="134">
        <v>44853.0</v>
      </c>
      <c r="C1277" s="42" t="s">
        <v>1142</v>
      </c>
      <c r="D1277" s="1" t="s">
        <v>1330</v>
      </c>
      <c r="E1277" s="17" t="s">
        <v>1918</v>
      </c>
      <c r="F1277" s="1" t="s">
        <v>58</v>
      </c>
      <c r="G1277" s="1" t="s">
        <v>1368</v>
      </c>
      <c r="H1277" s="1" t="s">
        <v>1895</v>
      </c>
      <c r="I1277" s="1" t="s">
        <v>1467</v>
      </c>
      <c r="J1277" s="1" t="s">
        <v>1243</v>
      </c>
      <c r="K1277" s="1" t="s">
        <v>1559</v>
      </c>
      <c r="L1277" s="1" t="s">
        <v>1243</v>
      </c>
      <c r="M1277" s="1" t="s">
        <v>1674</v>
      </c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</row>
    <row r="1278" ht="14.25" customHeight="1">
      <c r="A1278" s="36"/>
      <c r="B1278" s="8"/>
      <c r="C1278" s="3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</row>
    <row r="1279" ht="14.25" customHeight="1">
      <c r="A1279" s="91" t="s">
        <v>1919</v>
      </c>
      <c r="B1279" s="134">
        <v>44853.0</v>
      </c>
      <c r="C1279" s="94" t="s">
        <v>1771</v>
      </c>
      <c r="D1279" s="1" t="s">
        <v>706</v>
      </c>
      <c r="E1279" s="17" t="s">
        <v>1920</v>
      </c>
      <c r="F1279" s="1" t="s">
        <v>58</v>
      </c>
      <c r="G1279" s="1" t="s">
        <v>1921</v>
      </c>
      <c r="H1279" s="128" t="s">
        <v>1922</v>
      </c>
      <c r="I1279" s="1" t="s">
        <v>1467</v>
      </c>
      <c r="J1279" s="1" t="s">
        <v>1243</v>
      </c>
      <c r="K1279" s="1" t="s">
        <v>1583</v>
      </c>
      <c r="L1279" s="1" t="s">
        <v>1243</v>
      </c>
      <c r="M1279" s="1" t="s">
        <v>1327</v>
      </c>
      <c r="N1279" s="1" t="s">
        <v>1243</v>
      </c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</row>
    <row r="1280" ht="14.25" customHeight="1">
      <c r="A1280" s="36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</row>
    <row r="1281" ht="14.25" customHeight="1">
      <c r="A1281" s="91" t="s">
        <v>1923</v>
      </c>
      <c r="B1281" s="134">
        <v>44845.0</v>
      </c>
      <c r="C1281" s="42" t="s">
        <v>1901</v>
      </c>
      <c r="D1281" s="1" t="s">
        <v>1330</v>
      </c>
      <c r="E1281" s="1" t="s">
        <v>1902</v>
      </c>
      <c r="F1281" s="1" t="s">
        <v>822</v>
      </c>
      <c r="G1281" s="1" t="s">
        <v>1890</v>
      </c>
      <c r="H1281" s="1" t="s">
        <v>1895</v>
      </c>
      <c r="I1281" s="1" t="s">
        <v>1310</v>
      </c>
      <c r="J1281" s="1" t="s">
        <v>1243</v>
      </c>
      <c r="K1281" s="1" t="s">
        <v>1924</v>
      </c>
      <c r="L1281" s="1" t="s">
        <v>1243</v>
      </c>
      <c r="M1281" s="1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</row>
    <row r="1282" ht="14.25" customHeight="1">
      <c r="A1282" s="26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</row>
    <row r="1283" ht="14.25" customHeight="1">
      <c r="A1283" s="91" t="s">
        <v>1925</v>
      </c>
      <c r="B1283" s="93">
        <v>44868.0</v>
      </c>
      <c r="C1283" s="42" t="s">
        <v>1926</v>
      </c>
      <c r="D1283" s="1" t="s">
        <v>1330</v>
      </c>
      <c r="E1283" s="1" t="s">
        <v>1927</v>
      </c>
      <c r="F1283" s="1" t="s">
        <v>822</v>
      </c>
      <c r="G1283" s="1" t="s">
        <v>825</v>
      </c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</row>
    <row r="1284" ht="14.25" customHeight="1">
      <c r="A1284" s="26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</row>
    <row r="1285" ht="14.25" customHeight="1">
      <c r="A1285" s="91" t="s">
        <v>1928</v>
      </c>
      <c r="B1285" s="93">
        <v>44873.0</v>
      </c>
      <c r="C1285" s="42" t="s">
        <v>1929</v>
      </c>
      <c r="D1285" s="1" t="s">
        <v>1330</v>
      </c>
      <c r="E1285" s="1" t="s">
        <v>1930</v>
      </c>
      <c r="F1285" s="1" t="s">
        <v>1931</v>
      </c>
      <c r="G1285" s="1" t="s">
        <v>1143</v>
      </c>
      <c r="H1285" s="1" t="s">
        <v>1895</v>
      </c>
      <c r="I1285" s="1" t="s">
        <v>1139</v>
      </c>
      <c r="J1285" s="1" t="s">
        <v>1243</v>
      </c>
      <c r="K1285" s="1" t="s">
        <v>1932</v>
      </c>
      <c r="L1285" s="1" t="s">
        <v>1243</v>
      </c>
      <c r="M1285" s="1" t="s">
        <v>1381</v>
      </c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</row>
    <row r="1286" ht="14.25" customHeight="1">
      <c r="A1286" s="26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</row>
    <row r="1287" ht="14.25" customHeight="1">
      <c r="A1287" s="91" t="s">
        <v>1933</v>
      </c>
      <c r="B1287" s="93">
        <v>46708.0</v>
      </c>
      <c r="C1287" s="82" t="s">
        <v>1934</v>
      </c>
      <c r="D1287" s="1" t="s">
        <v>1935</v>
      </c>
      <c r="E1287" s="17" t="s">
        <v>1936</v>
      </c>
      <c r="F1287" s="1" t="s">
        <v>822</v>
      </c>
      <c r="G1287" s="1" t="s">
        <v>1143</v>
      </c>
      <c r="H1287" s="128" t="s">
        <v>1922</v>
      </c>
      <c r="I1287" s="1" t="s">
        <v>1712</v>
      </c>
      <c r="J1287" s="1" t="s">
        <v>1300</v>
      </c>
      <c r="K1287" s="1" t="s">
        <v>1937</v>
      </c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</row>
    <row r="1288" ht="14.25" customHeight="1">
      <c r="A1288" s="26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</row>
    <row r="1289" ht="14.25" customHeight="1">
      <c r="A1289" s="91" t="s">
        <v>1938</v>
      </c>
      <c r="B1289" s="93">
        <v>46708.0</v>
      </c>
      <c r="C1289" s="42" t="s">
        <v>1939</v>
      </c>
      <c r="D1289" s="1" t="s">
        <v>1330</v>
      </c>
      <c r="E1289" s="1" t="s">
        <v>1940</v>
      </c>
      <c r="F1289" s="1" t="s">
        <v>822</v>
      </c>
      <c r="G1289" s="1" t="s">
        <v>1143</v>
      </c>
      <c r="H1289" s="128" t="s">
        <v>1941</v>
      </c>
      <c r="I1289" s="1" t="s">
        <v>1712</v>
      </c>
      <c r="J1289" s="1" t="s">
        <v>1300</v>
      </c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</row>
    <row r="1290" ht="14.25" customHeight="1">
      <c r="A1290" s="26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</row>
    <row r="1291" ht="14.25" customHeight="1">
      <c r="A1291" s="91" t="s">
        <v>1942</v>
      </c>
      <c r="B1291" s="134">
        <v>44888.0</v>
      </c>
      <c r="C1291" s="140" t="s">
        <v>1943</v>
      </c>
      <c r="D1291" s="1" t="s">
        <v>1935</v>
      </c>
      <c r="E1291" s="1" t="s">
        <v>1944</v>
      </c>
      <c r="F1291" s="1" t="s">
        <v>1091</v>
      </c>
      <c r="G1291" s="1" t="s">
        <v>1181</v>
      </c>
      <c r="H1291" s="128" t="s">
        <v>1922</v>
      </c>
      <c r="I1291" s="1" t="s">
        <v>1139</v>
      </c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</row>
    <row r="1292" ht="14.25" customHeight="1">
      <c r="A1292" s="26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</row>
    <row r="1293" ht="14.25" customHeight="1">
      <c r="A1293" s="91" t="s">
        <v>1945</v>
      </c>
      <c r="B1293" s="134">
        <v>44888.0</v>
      </c>
      <c r="C1293" s="82" t="s">
        <v>739</v>
      </c>
      <c r="D1293" s="1" t="s">
        <v>1330</v>
      </c>
      <c r="E1293" s="17" t="s">
        <v>1946</v>
      </c>
      <c r="F1293" s="1" t="s">
        <v>1091</v>
      </c>
      <c r="G1293" s="1" t="s">
        <v>1143</v>
      </c>
      <c r="H1293" s="128" t="s">
        <v>1922</v>
      </c>
      <c r="I1293" s="1" t="s">
        <v>1719</v>
      </c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</row>
    <row r="1294" ht="14.25" customHeight="1">
      <c r="A1294" s="26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</row>
    <row r="1295" ht="14.25" customHeight="1">
      <c r="A1295" s="26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</row>
    <row r="1296" ht="14.25" customHeight="1">
      <c r="A1296" s="26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</row>
    <row r="1297" ht="14.25" customHeight="1">
      <c r="A1297" s="26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</row>
    <row r="1298" ht="14.25" customHeight="1">
      <c r="A1298" s="26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</row>
    <row r="1299" ht="14.25" customHeight="1">
      <c r="A1299" s="26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</row>
    <row r="1300" ht="14.25" customHeight="1">
      <c r="A1300" s="26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</row>
    <row r="1301" ht="14.25" customHeight="1">
      <c r="A1301" s="26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</row>
    <row r="1302" ht="14.25" customHeight="1">
      <c r="A1302" s="26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</row>
    <row r="1303" ht="14.25" customHeight="1">
      <c r="A1303" s="26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</row>
    <row r="1304" ht="14.25" customHeight="1">
      <c r="A1304" s="26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</row>
    <row r="1305" ht="14.25" customHeight="1">
      <c r="A1305" s="26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</row>
    <row r="1306" ht="14.25" customHeight="1">
      <c r="A1306" s="26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</row>
    <row r="1307" ht="14.25" customHeight="1">
      <c r="A1307" s="26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</row>
    <row r="1308" ht="14.25" customHeight="1">
      <c r="A1308" s="26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</row>
    <row r="1309" ht="14.25" customHeight="1">
      <c r="A1309" s="26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</row>
    <row r="1310" ht="14.25" customHeight="1">
      <c r="A1310" s="26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</row>
    <row r="1311" ht="14.25" customHeight="1">
      <c r="A1311" s="26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</row>
    <row r="1312" ht="14.25" customHeight="1">
      <c r="A1312" s="26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</row>
    <row r="1313" ht="14.25" customHeight="1">
      <c r="A1313" s="26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</row>
    <row r="1314" ht="14.25" customHeight="1">
      <c r="A1314" s="26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</row>
    <row r="1315" ht="14.25" customHeight="1">
      <c r="A1315" s="26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</row>
    <row r="1316" ht="14.25" customHeight="1">
      <c r="A1316" s="26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</row>
    <row r="1317" ht="14.25" customHeight="1">
      <c r="A1317" s="26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</row>
    <row r="1318" ht="14.25" customHeight="1">
      <c r="A1318" s="26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</row>
    <row r="1319" ht="14.25" customHeight="1">
      <c r="A1319" s="26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</row>
    <row r="1320" ht="14.25" customHeight="1">
      <c r="A1320" s="26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</row>
    <row r="1321" ht="14.25" customHeight="1">
      <c r="A1321" s="26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</row>
    <row r="1322" ht="14.25" customHeight="1">
      <c r="A1322" s="26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</row>
    <row r="1323" ht="14.25" customHeight="1">
      <c r="A1323" s="26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</row>
    <row r="1324" ht="14.25" customHeight="1">
      <c r="A1324" s="26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</row>
    <row r="1325" ht="14.25" customHeight="1">
      <c r="A1325" s="26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</row>
    <row r="1326" ht="14.25" customHeight="1">
      <c r="A1326" s="26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</row>
    <row r="1327" ht="14.25" customHeight="1">
      <c r="A1327" s="26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</row>
    <row r="1328" ht="14.25" customHeight="1">
      <c r="A1328" s="26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</row>
    <row r="1329" ht="14.25" customHeight="1">
      <c r="A1329" s="26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</row>
    <row r="1330" ht="14.25" customHeight="1">
      <c r="A1330" s="26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</row>
    <row r="1331" ht="14.25" customHeight="1">
      <c r="A1331" s="26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</row>
    <row r="1332" ht="14.25" customHeight="1">
      <c r="A1332" s="26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</row>
    <row r="1333" ht="14.25" customHeight="1">
      <c r="A1333" s="26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</row>
    <row r="1334" ht="14.25" customHeight="1">
      <c r="A1334" s="26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</row>
    <row r="1335" ht="14.25" customHeight="1">
      <c r="A1335" s="26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</row>
    <row r="1336" ht="14.25" customHeight="1">
      <c r="A1336" s="26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</row>
    <row r="1337" ht="14.25" customHeight="1">
      <c r="A1337" s="26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</row>
    <row r="1338" ht="14.25" customHeight="1">
      <c r="A1338" s="26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</row>
    <row r="1339" ht="14.25" customHeight="1">
      <c r="A1339" s="26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</row>
    <row r="1340" ht="14.25" customHeight="1">
      <c r="A1340" s="26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</row>
    <row r="1341" ht="14.25" customHeight="1">
      <c r="A1341" s="26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</row>
    <row r="1342" ht="14.25" customHeight="1">
      <c r="A1342" s="26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</row>
    <row r="1343" ht="14.25" customHeight="1">
      <c r="A1343" s="26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</row>
    <row r="1344" ht="14.25" customHeight="1">
      <c r="A1344" s="26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</row>
    <row r="1345" ht="14.25" customHeight="1">
      <c r="A1345" s="26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</row>
    <row r="1346" ht="14.25" customHeight="1">
      <c r="A1346" s="26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</row>
    <row r="1347" ht="14.25" customHeight="1">
      <c r="A1347" s="26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</row>
    <row r="1348" ht="14.25" customHeight="1">
      <c r="A1348" s="26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</row>
    <row r="1349" ht="14.25" customHeight="1">
      <c r="A1349" s="26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</row>
    <row r="1350" ht="14.25" customHeight="1">
      <c r="A1350" s="26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</row>
    <row r="1351" ht="14.25" customHeight="1">
      <c r="A1351" s="26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</row>
    <row r="1352" ht="14.25" customHeight="1">
      <c r="A1352" s="26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</row>
    <row r="1353" ht="14.25" customHeight="1">
      <c r="A1353" s="26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</row>
    <row r="1354" ht="14.25" customHeight="1">
      <c r="A1354" s="26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</row>
    <row r="1355" ht="14.25" customHeight="1">
      <c r="A1355" s="26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</row>
    <row r="1356" ht="14.25" customHeight="1">
      <c r="A1356" s="26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</row>
    <row r="1357" ht="14.25" customHeight="1">
      <c r="A1357" s="26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</row>
    <row r="1358" ht="14.25" customHeight="1">
      <c r="A1358" s="26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</row>
    <row r="1359" ht="14.25" customHeight="1">
      <c r="A1359" s="26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</row>
    <row r="1360" ht="14.25" customHeight="1">
      <c r="A1360" s="26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</row>
    <row r="1361" ht="14.25" customHeight="1">
      <c r="A1361" s="26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</row>
    <row r="1362" ht="14.25" customHeight="1">
      <c r="A1362" s="26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</row>
    <row r="1363" ht="14.25" customHeight="1">
      <c r="A1363" s="26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</row>
    <row r="1364" ht="14.25" customHeight="1">
      <c r="A1364" s="26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</row>
    <row r="1365" ht="14.25" customHeight="1">
      <c r="A1365" s="26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</row>
    <row r="1366" ht="14.25" customHeight="1">
      <c r="A1366" s="26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</row>
    <row r="1367" ht="14.25" customHeight="1">
      <c r="A1367" s="26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</row>
    <row r="1368" ht="14.25" customHeight="1">
      <c r="A1368" s="26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</row>
    <row r="1369" ht="14.25" customHeight="1">
      <c r="A1369" s="26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</row>
    <row r="1370" ht="14.25" customHeight="1">
      <c r="A1370" s="26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</row>
    <row r="1371" ht="14.25" customHeight="1">
      <c r="A1371" s="26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</row>
    <row r="1372" ht="14.25" customHeight="1">
      <c r="A1372" s="26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</row>
    <row r="1373" ht="14.25" customHeight="1">
      <c r="A1373" s="26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</row>
    <row r="1374" ht="14.25" customHeight="1">
      <c r="A1374" s="26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</row>
    <row r="1375" ht="14.25" customHeight="1">
      <c r="A1375" s="26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</row>
    <row r="1376" ht="14.25" customHeight="1">
      <c r="A1376" s="26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</row>
    <row r="1377" ht="14.25" customHeight="1">
      <c r="A1377" s="26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</row>
    <row r="1378" ht="14.25" customHeight="1">
      <c r="A1378" s="26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</row>
    <row r="1379" ht="14.25" customHeight="1">
      <c r="A1379" s="26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</row>
    <row r="1380" ht="14.25" customHeight="1">
      <c r="A1380" s="26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</row>
    <row r="1381" ht="14.25" customHeight="1">
      <c r="A1381" s="26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</row>
    <row r="1382" ht="14.25" customHeight="1">
      <c r="A1382" s="26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</row>
    <row r="1383" ht="14.25" customHeight="1">
      <c r="A1383" s="26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</row>
    <row r="1384" ht="14.25" customHeight="1">
      <c r="A1384" s="26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</row>
    <row r="1385" ht="14.25" customHeight="1">
      <c r="A1385" s="26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</row>
    <row r="1386" ht="14.25" customHeight="1">
      <c r="A1386" s="26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</row>
    <row r="1387" ht="14.25" customHeight="1">
      <c r="A1387" s="26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</row>
    <row r="1388" ht="14.25" customHeight="1">
      <c r="A1388" s="26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</row>
    <row r="1389" ht="14.25" customHeight="1">
      <c r="A1389" s="26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</row>
    <row r="1390" ht="14.25" customHeight="1">
      <c r="A1390" s="26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</row>
    <row r="1391" ht="14.25" customHeight="1">
      <c r="A1391" s="26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</row>
    <row r="1392" ht="14.25" customHeight="1">
      <c r="A1392" s="26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</row>
    <row r="1393" ht="14.25" customHeight="1">
      <c r="A1393" s="26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</row>
    <row r="1394" ht="14.25" customHeight="1">
      <c r="A1394" s="26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</row>
    <row r="1395" ht="14.25" customHeight="1">
      <c r="A1395" s="26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</row>
    <row r="1396" ht="14.25" customHeight="1">
      <c r="A1396" s="26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</row>
    <row r="1397" ht="14.25" customHeight="1">
      <c r="A1397" s="26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</row>
    <row r="1398" ht="14.25" customHeight="1">
      <c r="A1398" s="26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</row>
    <row r="1399" ht="14.25" customHeight="1">
      <c r="A1399" s="26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</row>
    <row r="1400" ht="14.25" customHeight="1">
      <c r="A1400" s="26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</row>
    <row r="1401" ht="14.25" customHeight="1">
      <c r="A1401" s="26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</row>
    <row r="1402" ht="14.25" customHeight="1">
      <c r="A1402" s="26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</row>
    <row r="1403" ht="14.25" customHeight="1">
      <c r="A1403" s="26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</row>
    <row r="1404" ht="14.25" customHeight="1">
      <c r="A1404" s="26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</row>
    <row r="1405" ht="14.25" customHeight="1">
      <c r="A1405" s="26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</row>
    <row r="1406" ht="14.25" customHeight="1">
      <c r="A1406" s="26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</row>
    <row r="1407" ht="14.25" customHeight="1">
      <c r="A1407" s="26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</row>
    <row r="1408" ht="14.25" customHeight="1">
      <c r="A1408" s="26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</row>
    <row r="1409" ht="14.25" customHeight="1">
      <c r="A1409" s="26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</row>
    <row r="1410" ht="14.25" customHeight="1">
      <c r="A1410" s="26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</row>
    <row r="1411" ht="14.25" customHeight="1">
      <c r="A1411" s="26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</row>
    <row r="1412" ht="14.25" customHeight="1">
      <c r="A1412" s="26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</row>
    <row r="1413" ht="14.25" customHeight="1">
      <c r="A1413" s="26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</row>
    <row r="1414" ht="14.25" customHeight="1">
      <c r="A1414" s="26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</row>
    <row r="1415" ht="14.25" customHeight="1">
      <c r="A1415" s="26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</row>
    <row r="1416" ht="14.25" customHeight="1">
      <c r="A1416" s="26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</row>
    <row r="1417" ht="14.25" customHeight="1">
      <c r="A1417" s="26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</row>
    <row r="1418" ht="14.25" customHeight="1">
      <c r="A1418" s="26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</row>
    <row r="1419" ht="14.25" customHeight="1">
      <c r="A1419" s="26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</row>
    <row r="1420" ht="14.25" customHeight="1">
      <c r="A1420" s="26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</row>
    <row r="1421" ht="14.25" customHeight="1">
      <c r="A1421" s="26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</row>
    <row r="1422" ht="14.25" customHeight="1">
      <c r="A1422" s="26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</row>
    <row r="1423" ht="14.25" customHeight="1">
      <c r="A1423" s="26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</row>
    <row r="1424" ht="14.25" customHeight="1">
      <c r="A1424" s="26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</row>
    <row r="1425" ht="14.25" customHeight="1">
      <c r="A1425" s="26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</row>
    <row r="1426" ht="14.25" customHeight="1">
      <c r="A1426" s="26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</row>
    <row r="1427" ht="14.25" customHeight="1">
      <c r="A1427" s="26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</row>
    <row r="1428" ht="14.25" customHeight="1">
      <c r="A1428" s="26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</row>
    <row r="1429" ht="14.25" customHeight="1">
      <c r="A1429" s="26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</row>
    <row r="1430" ht="14.25" customHeight="1">
      <c r="A1430" s="26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</row>
    <row r="1431" ht="14.25" customHeight="1">
      <c r="A1431" s="26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</row>
    <row r="1432" ht="14.25" customHeight="1">
      <c r="A1432" s="26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</row>
    <row r="1433" ht="14.25" customHeight="1">
      <c r="A1433" s="26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</row>
    <row r="1434" ht="14.25" customHeight="1">
      <c r="A1434" s="26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</row>
    <row r="1435" ht="14.25" customHeight="1">
      <c r="A1435" s="26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</row>
    <row r="1436" ht="14.25" customHeight="1">
      <c r="A1436" s="26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</row>
    <row r="1437" ht="14.25" customHeight="1">
      <c r="A1437" s="26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</row>
    <row r="1438" ht="14.25" customHeight="1">
      <c r="A1438" s="26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</row>
    <row r="1439" ht="14.25" customHeight="1">
      <c r="A1439" s="26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</row>
    <row r="1440" ht="14.25" customHeight="1">
      <c r="A1440" s="26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</row>
    <row r="1441" ht="14.25" customHeight="1">
      <c r="A1441" s="26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</row>
    <row r="1442" ht="14.25" customHeight="1">
      <c r="A1442" s="26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</row>
    <row r="1443" ht="14.25" customHeight="1">
      <c r="A1443" s="26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</row>
    <row r="1444" ht="14.25" customHeight="1">
      <c r="A1444" s="26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</row>
    <row r="1445" ht="14.25" customHeight="1">
      <c r="A1445" s="26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</row>
    <row r="1446" ht="14.25" customHeight="1">
      <c r="A1446" s="26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</row>
    <row r="1447" ht="14.25" customHeight="1">
      <c r="A1447" s="26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</row>
    <row r="1448" ht="14.25" customHeight="1">
      <c r="A1448" s="26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</row>
    <row r="1449" ht="14.25" customHeight="1">
      <c r="A1449" s="26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</row>
    <row r="1450" ht="14.25" customHeight="1">
      <c r="A1450" s="26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</row>
    <row r="1451" ht="14.25" customHeight="1">
      <c r="A1451" s="26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</row>
    <row r="1452" ht="14.25" customHeight="1">
      <c r="A1452" s="26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</row>
    <row r="1453" ht="14.25" customHeight="1">
      <c r="A1453" s="26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</row>
    <row r="1454" ht="14.25" customHeight="1">
      <c r="A1454" s="26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</row>
    <row r="1455" ht="14.25" customHeight="1">
      <c r="A1455" s="26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</row>
    <row r="1456" ht="14.25" customHeight="1">
      <c r="A1456" s="26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</row>
    <row r="1457" ht="14.25" customHeight="1">
      <c r="A1457" s="26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</row>
    <row r="1458" ht="14.25" customHeight="1">
      <c r="A1458" s="26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</row>
    <row r="1459" ht="14.25" customHeight="1">
      <c r="A1459" s="26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</row>
    <row r="1460" ht="14.25" customHeight="1">
      <c r="A1460" s="26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</row>
    <row r="1461" ht="14.25" customHeight="1">
      <c r="A1461" s="26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</row>
    <row r="1462" ht="14.25" customHeight="1">
      <c r="A1462" s="26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</row>
    <row r="1463" ht="14.25" customHeight="1">
      <c r="A1463" s="26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</row>
    <row r="1464" ht="14.25" customHeight="1">
      <c r="A1464" s="26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</row>
    <row r="1465" ht="14.25" customHeight="1">
      <c r="A1465" s="26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</row>
    <row r="1466" ht="14.25" customHeight="1">
      <c r="A1466" s="26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</row>
    <row r="1467" ht="14.25" customHeight="1">
      <c r="A1467" s="26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</row>
    <row r="1468" ht="14.25" customHeight="1">
      <c r="A1468" s="26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</row>
    <row r="1469" ht="14.25" customHeight="1">
      <c r="A1469" s="26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</row>
    <row r="1470" ht="14.25" customHeight="1">
      <c r="A1470" s="26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</row>
    <row r="1471" ht="14.25" customHeight="1">
      <c r="A1471" s="26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</row>
    <row r="1472" ht="14.25" customHeight="1">
      <c r="A1472" s="26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</row>
    <row r="1473" ht="14.25" customHeight="1">
      <c r="A1473" s="26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</row>
    <row r="1474" ht="14.25" customHeight="1">
      <c r="A1474" s="26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</row>
    <row r="1475" ht="14.25" customHeight="1">
      <c r="A1475" s="26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</row>
    <row r="1476" ht="14.25" customHeight="1">
      <c r="A1476" s="26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</row>
    <row r="1477" ht="14.25" customHeight="1">
      <c r="A1477" s="26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</row>
    <row r="1478" ht="14.25" customHeight="1">
      <c r="A1478" s="26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</row>
    <row r="1479" ht="14.25" customHeight="1">
      <c r="A1479" s="26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</row>
    <row r="1480" ht="14.25" customHeight="1">
      <c r="A1480" s="26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</row>
    <row r="1481" ht="14.25" customHeight="1">
      <c r="A1481" s="26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</row>
    <row r="1482" ht="14.25" customHeight="1">
      <c r="A1482" s="26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</row>
    <row r="1483" ht="14.25" customHeight="1">
      <c r="A1483" s="26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</row>
    <row r="1484" ht="14.25" customHeight="1">
      <c r="A1484" s="26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</row>
    <row r="1485" ht="14.25" customHeight="1">
      <c r="A1485" s="26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</row>
    <row r="1486" ht="14.25" customHeight="1">
      <c r="A1486" s="26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</row>
    <row r="1487" ht="14.25" customHeight="1">
      <c r="A1487" s="26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</row>
    <row r="1488" ht="14.25" customHeight="1">
      <c r="A1488" s="26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</row>
    <row r="1489" ht="14.25" customHeight="1">
      <c r="A1489" s="26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</row>
    <row r="1490" ht="14.25" customHeight="1">
      <c r="A1490" s="26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</row>
    <row r="1491" ht="14.25" customHeight="1">
      <c r="A1491" s="26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</row>
    <row r="1492" ht="14.25" customHeight="1">
      <c r="A1492" s="26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</row>
    <row r="1493" ht="14.25" customHeight="1">
      <c r="A1493" s="26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</row>
    <row r="1494" ht="14.25" customHeight="1">
      <c r="A1494" s="26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</row>
    <row r="1495" ht="14.25" customHeight="1">
      <c r="A1495" s="26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</row>
    <row r="1496" ht="14.25" customHeight="1">
      <c r="A1496" s="26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</row>
    <row r="1497" ht="14.25" customHeight="1">
      <c r="A1497" s="26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</row>
    <row r="1498" ht="14.25" customHeight="1">
      <c r="A1498" s="26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</row>
    <row r="1499" ht="14.25" customHeight="1">
      <c r="A1499" s="26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</row>
    <row r="1500" ht="14.25" customHeight="1">
      <c r="A1500" s="26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</row>
    <row r="1501" ht="14.25" customHeight="1">
      <c r="A1501" s="26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</row>
    <row r="1502" ht="14.25" customHeight="1">
      <c r="A1502" s="26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</row>
    <row r="1503" ht="14.25" customHeight="1">
      <c r="A1503" s="26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</row>
    <row r="1504" ht="14.25" customHeight="1">
      <c r="A1504" s="26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</row>
    <row r="1505" ht="14.25" customHeight="1">
      <c r="A1505" s="26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</row>
    <row r="1506" ht="14.25" customHeight="1">
      <c r="A1506" s="26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</row>
    <row r="1507" ht="14.25" customHeight="1">
      <c r="A1507" s="26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</row>
    <row r="1508" ht="14.25" customHeight="1">
      <c r="A1508" s="26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</row>
    <row r="1509" ht="14.25" customHeight="1">
      <c r="A1509" s="26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</row>
    <row r="1510" ht="14.25" customHeight="1">
      <c r="A1510" s="26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</row>
    <row r="1511" ht="14.25" customHeight="1">
      <c r="A1511" s="26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</row>
    <row r="1512" ht="14.25" customHeight="1">
      <c r="A1512" s="26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</row>
    <row r="1513" ht="14.25" customHeight="1">
      <c r="A1513" s="26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</row>
    <row r="1514" ht="14.25" customHeight="1">
      <c r="A1514" s="26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</row>
    <row r="1515" ht="14.25" customHeight="1">
      <c r="A1515" s="26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</row>
    <row r="1516" ht="14.25" customHeight="1">
      <c r="A1516" s="26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</row>
    <row r="1517" ht="14.25" customHeight="1">
      <c r="A1517" s="26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</row>
    <row r="1518" ht="14.25" customHeight="1">
      <c r="A1518" s="26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</row>
    <row r="1519" ht="14.25" customHeight="1">
      <c r="A1519" s="26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</row>
    <row r="1520" ht="14.25" customHeight="1">
      <c r="A1520" s="26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</row>
    <row r="1521" ht="14.25" customHeight="1">
      <c r="A1521" s="26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</row>
    <row r="1522" ht="14.25" customHeight="1">
      <c r="A1522" s="26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</row>
    <row r="1523" ht="14.25" customHeight="1">
      <c r="A1523" s="26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</row>
    <row r="1524" ht="14.25" customHeight="1">
      <c r="A1524" s="26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</row>
    <row r="1525" ht="14.25" customHeight="1">
      <c r="A1525" s="26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</row>
    <row r="1526" ht="14.25" customHeight="1">
      <c r="A1526" s="26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</row>
    <row r="1527" ht="14.25" customHeight="1">
      <c r="A1527" s="26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</row>
    <row r="1528" ht="14.25" customHeight="1">
      <c r="A1528" s="26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</row>
    <row r="1529" ht="14.25" customHeight="1">
      <c r="A1529" s="26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</row>
    <row r="1530" ht="14.25" customHeight="1">
      <c r="A1530" s="26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</row>
    <row r="1531" ht="14.25" customHeight="1">
      <c r="A1531" s="26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</row>
    <row r="1532" ht="14.25" customHeight="1">
      <c r="A1532" s="26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</row>
    <row r="1533" ht="14.25" customHeight="1">
      <c r="A1533" s="26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</row>
    <row r="1534" ht="14.25" customHeight="1">
      <c r="A1534" s="26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</row>
    <row r="1535" ht="14.25" customHeight="1">
      <c r="A1535" s="26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</row>
    <row r="1536" ht="14.25" customHeight="1">
      <c r="A1536" s="26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</row>
    <row r="1537" ht="14.25" customHeight="1">
      <c r="A1537" s="26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</row>
    <row r="1538" ht="14.25" customHeight="1">
      <c r="A1538" s="26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</row>
    <row r="1539" ht="14.25" customHeight="1">
      <c r="A1539" s="26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</row>
    <row r="1540" ht="14.25" customHeight="1">
      <c r="A1540" s="26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</row>
    <row r="1541" ht="14.25" customHeight="1">
      <c r="A1541" s="26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</row>
    <row r="1542" ht="14.25" customHeight="1">
      <c r="A1542" s="26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</row>
    <row r="1543" ht="14.25" customHeight="1">
      <c r="A1543" s="26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</row>
    <row r="1544" ht="14.25" customHeight="1">
      <c r="A1544" s="26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</row>
    <row r="1545" ht="14.25" customHeight="1">
      <c r="A1545" s="26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</row>
    <row r="1546" ht="14.25" customHeight="1">
      <c r="A1546" s="26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</row>
    <row r="1547" ht="14.25" customHeight="1">
      <c r="A1547" s="26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</row>
    <row r="1548" ht="14.25" customHeight="1">
      <c r="A1548" s="26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</row>
    <row r="1549" ht="14.25" customHeight="1">
      <c r="A1549" s="26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</row>
    <row r="1550" ht="14.25" customHeight="1">
      <c r="A1550" s="26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</row>
    <row r="1551" ht="14.25" customHeight="1">
      <c r="A1551" s="26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</row>
    <row r="1552" ht="14.25" customHeight="1">
      <c r="A1552" s="26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</row>
    <row r="1553" ht="14.25" customHeight="1">
      <c r="A1553" s="26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</row>
    <row r="1554" ht="14.25" customHeight="1">
      <c r="A1554" s="26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</row>
    <row r="1555" ht="14.25" customHeight="1">
      <c r="A1555" s="26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</row>
    <row r="1556" ht="14.25" customHeight="1">
      <c r="A1556" s="26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</row>
    <row r="1557" ht="14.25" customHeight="1">
      <c r="A1557" s="26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</row>
    <row r="1558" ht="14.25" customHeight="1">
      <c r="A1558" s="26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</row>
    <row r="1559" ht="14.25" customHeight="1">
      <c r="A1559" s="26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</row>
    <row r="1560" ht="14.25" customHeight="1">
      <c r="A1560" s="26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</row>
    <row r="1561" ht="14.25" customHeight="1">
      <c r="A1561" s="26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</row>
    <row r="1562" ht="14.25" customHeight="1">
      <c r="A1562" s="26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</row>
    <row r="1563" ht="14.25" customHeight="1">
      <c r="A1563" s="26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</row>
    <row r="1564" ht="14.25" customHeight="1">
      <c r="A1564" s="26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</row>
    <row r="1565" ht="14.25" customHeight="1">
      <c r="A1565" s="26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</row>
    <row r="1566" ht="14.25" customHeight="1">
      <c r="A1566" s="26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</row>
    <row r="1567" ht="14.25" customHeight="1">
      <c r="A1567" s="26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</row>
    <row r="1568" ht="14.25" customHeight="1">
      <c r="A1568" s="26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</row>
    <row r="1569" ht="14.25" customHeight="1">
      <c r="A1569" s="26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</row>
    <row r="1570" ht="14.25" customHeight="1">
      <c r="A1570" s="26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</row>
    <row r="1571" ht="14.25" customHeight="1">
      <c r="A1571" s="26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</row>
    <row r="1572" ht="14.25" customHeight="1">
      <c r="A1572" s="26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</row>
    <row r="1573" ht="14.25" customHeight="1">
      <c r="A1573" s="26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</row>
    <row r="1574" ht="14.25" customHeight="1">
      <c r="A1574" s="26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</row>
    <row r="1575" ht="14.25" customHeight="1">
      <c r="A1575" s="26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</row>
    <row r="1576" ht="14.25" customHeight="1">
      <c r="A1576" s="26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</row>
    <row r="1577" ht="14.25" customHeight="1">
      <c r="A1577" s="26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</row>
    <row r="1578" ht="14.25" customHeight="1">
      <c r="A1578" s="26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</row>
    <row r="1579" ht="14.25" customHeight="1">
      <c r="A1579" s="26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</row>
    <row r="1580" ht="14.25" customHeight="1">
      <c r="A1580" s="26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</row>
    <row r="1581" ht="14.25" customHeight="1">
      <c r="A1581" s="26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</row>
    <row r="1582" ht="14.25" customHeight="1">
      <c r="A1582" s="26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</row>
    <row r="1583" ht="14.25" customHeight="1">
      <c r="A1583" s="26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</row>
    <row r="1584" ht="14.25" customHeight="1">
      <c r="A1584" s="26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</row>
    <row r="1585" ht="14.25" customHeight="1">
      <c r="A1585" s="26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</row>
    <row r="1586" ht="14.25" customHeight="1">
      <c r="A1586" s="26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</row>
    <row r="1587" ht="14.25" customHeight="1">
      <c r="A1587" s="26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</row>
    <row r="1588" ht="14.25" customHeight="1">
      <c r="A1588" s="26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</row>
    <row r="1589" ht="14.25" customHeight="1">
      <c r="A1589" s="26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</row>
    <row r="1590" ht="14.25" customHeight="1">
      <c r="A1590" s="26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</row>
    <row r="1591" ht="14.25" customHeight="1">
      <c r="A1591" s="26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</row>
    <row r="1592" ht="14.25" customHeight="1">
      <c r="A1592" s="26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</row>
    <row r="1593" ht="14.25" customHeight="1">
      <c r="A1593" s="26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</row>
    <row r="1594" ht="14.25" customHeight="1">
      <c r="A1594" s="26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</row>
    <row r="1595" ht="14.25" customHeight="1">
      <c r="A1595" s="26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</row>
    <row r="1596" ht="14.25" customHeight="1">
      <c r="A1596" s="26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</row>
    <row r="1597" ht="14.25" customHeight="1">
      <c r="A1597" s="26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</row>
    <row r="1598" ht="14.25" customHeight="1">
      <c r="A1598" s="26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</row>
    <row r="1599" ht="14.25" customHeight="1">
      <c r="A1599" s="26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</row>
    <row r="1600" ht="14.25" customHeight="1">
      <c r="A1600" s="26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</row>
    <row r="1601" ht="14.25" customHeight="1">
      <c r="A1601" s="26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</row>
    <row r="1602" ht="14.25" customHeight="1">
      <c r="A1602" s="26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</row>
    <row r="1603" ht="14.25" customHeight="1">
      <c r="A1603" s="26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</row>
    <row r="1604" ht="14.25" customHeight="1">
      <c r="A1604" s="26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</row>
    <row r="1605" ht="14.25" customHeight="1">
      <c r="A1605" s="26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</row>
    <row r="1606" ht="14.25" customHeight="1">
      <c r="A1606" s="26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</row>
    <row r="1607" ht="14.25" customHeight="1">
      <c r="A1607" s="26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</row>
    <row r="1608" ht="14.25" customHeight="1">
      <c r="A1608" s="26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</row>
    <row r="1609" ht="14.25" customHeight="1">
      <c r="A1609" s="26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</row>
    <row r="1610" ht="14.25" customHeight="1">
      <c r="A1610" s="26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</row>
    <row r="1611" ht="14.25" customHeight="1">
      <c r="A1611" s="26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</row>
    <row r="1612" ht="14.25" customHeight="1">
      <c r="A1612" s="26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</row>
    <row r="1613" ht="14.25" customHeight="1">
      <c r="A1613" s="26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</row>
    <row r="1614" ht="14.25" customHeight="1">
      <c r="A1614" s="26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</row>
    <row r="1615" ht="14.25" customHeight="1">
      <c r="A1615" s="26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</row>
    <row r="1616" ht="14.25" customHeight="1">
      <c r="A1616" s="26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</row>
    <row r="1617" ht="14.25" customHeight="1">
      <c r="A1617" s="26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</row>
    <row r="1618" ht="14.25" customHeight="1">
      <c r="A1618" s="26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</row>
    <row r="1619" ht="14.25" customHeight="1">
      <c r="A1619" s="26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</row>
    <row r="1620" ht="14.25" customHeight="1">
      <c r="A1620" s="26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</row>
    <row r="1621" ht="14.25" customHeight="1">
      <c r="A1621" s="26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</row>
    <row r="1622" ht="14.25" customHeight="1">
      <c r="A1622" s="26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</row>
    <row r="1623" ht="14.25" customHeight="1">
      <c r="A1623" s="26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</row>
    <row r="1624" ht="14.25" customHeight="1">
      <c r="A1624" s="26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</row>
    <row r="1625" ht="14.25" customHeight="1">
      <c r="A1625" s="26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</row>
    <row r="1626" ht="14.25" customHeight="1">
      <c r="A1626" s="26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</row>
    <row r="1627" ht="14.25" customHeight="1">
      <c r="A1627" s="26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</row>
    <row r="1628" ht="14.25" customHeight="1">
      <c r="A1628" s="26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</row>
    <row r="1629" ht="14.25" customHeight="1">
      <c r="A1629" s="26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</row>
    <row r="1630" ht="14.25" customHeight="1">
      <c r="A1630" s="26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</row>
    <row r="1631" ht="14.25" customHeight="1">
      <c r="A1631" s="26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</row>
    <row r="1632" ht="14.25" customHeight="1">
      <c r="A1632" s="26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</row>
    <row r="1633" ht="14.25" customHeight="1">
      <c r="A1633" s="26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</row>
    <row r="1634" ht="14.25" customHeight="1">
      <c r="A1634" s="26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</row>
    <row r="1635" ht="14.25" customHeight="1">
      <c r="A1635" s="26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</row>
    <row r="1636" ht="14.25" customHeight="1">
      <c r="A1636" s="26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</row>
    <row r="1637" ht="14.25" customHeight="1">
      <c r="A1637" s="26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</row>
    <row r="1638" ht="14.25" customHeight="1">
      <c r="A1638" s="26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</row>
    <row r="1639" ht="14.25" customHeight="1">
      <c r="A1639" s="26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</row>
    <row r="1640" ht="14.25" customHeight="1">
      <c r="A1640" s="26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</row>
    <row r="1641" ht="14.25" customHeight="1">
      <c r="A1641" s="26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</row>
    <row r="1642" ht="14.25" customHeight="1">
      <c r="A1642" s="26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</row>
    <row r="1643" ht="14.25" customHeight="1">
      <c r="A1643" s="26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</row>
    <row r="1644" ht="14.25" customHeight="1">
      <c r="A1644" s="26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</row>
    <row r="1645" ht="14.25" customHeight="1">
      <c r="A1645" s="26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</row>
    <row r="1646" ht="14.25" customHeight="1">
      <c r="A1646" s="26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</row>
    <row r="1647" ht="14.25" customHeight="1">
      <c r="A1647" s="26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</row>
    <row r="1648" ht="14.25" customHeight="1">
      <c r="A1648" s="26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</row>
    <row r="1649" ht="14.25" customHeight="1">
      <c r="A1649" s="26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</row>
    <row r="1650" ht="14.25" customHeight="1">
      <c r="A1650" s="26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</row>
    <row r="1651" ht="14.25" customHeight="1">
      <c r="A1651" s="26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</row>
    <row r="1652" ht="14.25" customHeight="1">
      <c r="A1652" s="26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</row>
    <row r="1653" ht="14.25" customHeight="1">
      <c r="A1653" s="26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</row>
    <row r="1654" ht="14.25" customHeight="1">
      <c r="A1654" s="26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</row>
    <row r="1655" ht="14.25" customHeight="1">
      <c r="A1655" s="26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</row>
    <row r="1656" ht="14.25" customHeight="1">
      <c r="A1656" s="26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</row>
    <row r="1657" ht="14.25" customHeight="1">
      <c r="A1657" s="26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</row>
    <row r="1658" ht="14.25" customHeight="1">
      <c r="A1658" s="26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</row>
    <row r="1659" ht="14.25" customHeight="1">
      <c r="A1659" s="26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</row>
    <row r="1660" ht="14.25" customHeight="1">
      <c r="A1660" s="26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</row>
    <row r="1661" ht="14.25" customHeight="1">
      <c r="A1661" s="26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</row>
    <row r="1662" ht="14.25" customHeight="1">
      <c r="A1662" s="26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</row>
    <row r="1663" ht="14.25" customHeight="1">
      <c r="A1663" s="26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</row>
    <row r="1664" ht="14.25" customHeight="1">
      <c r="A1664" s="26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</row>
    <row r="1665" ht="14.25" customHeight="1">
      <c r="A1665" s="26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</row>
    <row r="1666" ht="14.25" customHeight="1">
      <c r="A1666" s="26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</row>
    <row r="1667" ht="14.25" customHeight="1">
      <c r="A1667" s="26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</row>
    <row r="1668" ht="14.25" customHeight="1">
      <c r="A1668" s="26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</row>
    <row r="1669" ht="14.25" customHeight="1">
      <c r="A1669" s="26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</row>
    <row r="1670" ht="14.25" customHeight="1">
      <c r="A1670" s="26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</row>
    <row r="1671" ht="14.25" customHeight="1">
      <c r="A1671" s="26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</row>
    <row r="1672" ht="14.25" customHeight="1">
      <c r="A1672" s="26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</row>
    <row r="1673" ht="14.25" customHeight="1">
      <c r="A1673" s="26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</row>
    <row r="1674" ht="14.25" customHeight="1">
      <c r="A1674" s="26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</row>
    <row r="1675" ht="14.25" customHeight="1">
      <c r="A1675" s="26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</row>
    <row r="1676" ht="14.25" customHeight="1">
      <c r="A1676" s="26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</row>
    <row r="1677" ht="14.25" customHeight="1">
      <c r="A1677" s="26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</row>
    <row r="1678" ht="14.25" customHeight="1">
      <c r="A1678" s="26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</row>
    <row r="1679" ht="14.25" customHeight="1">
      <c r="A1679" s="26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</row>
    <row r="1680" ht="14.25" customHeight="1">
      <c r="A1680" s="26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</row>
    <row r="1681" ht="14.25" customHeight="1">
      <c r="A1681" s="26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</row>
    <row r="1682" ht="14.25" customHeight="1">
      <c r="A1682" s="26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</row>
    <row r="1683" ht="14.25" customHeight="1">
      <c r="A1683" s="26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</row>
    <row r="1684" ht="14.25" customHeight="1">
      <c r="A1684" s="26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</row>
    <row r="1685" ht="14.25" customHeight="1">
      <c r="A1685" s="26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</row>
    <row r="1686" ht="14.25" customHeight="1">
      <c r="A1686" s="26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</row>
    <row r="1687" ht="14.25" customHeight="1">
      <c r="A1687" s="26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</row>
    <row r="1688" ht="14.25" customHeight="1">
      <c r="A1688" s="26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</row>
    <row r="1689" ht="14.25" customHeight="1">
      <c r="A1689" s="26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</row>
    <row r="1690" ht="14.25" customHeight="1">
      <c r="A1690" s="26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</row>
    <row r="1691" ht="14.25" customHeight="1">
      <c r="A1691" s="26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</row>
    <row r="1692" ht="14.25" customHeight="1">
      <c r="A1692" s="26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</row>
    <row r="1693" ht="14.25" customHeight="1">
      <c r="A1693" s="26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</row>
    <row r="1694" ht="14.25" customHeight="1">
      <c r="A1694" s="26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</row>
    <row r="1695" ht="14.25" customHeight="1">
      <c r="A1695" s="26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</row>
    <row r="1696" ht="14.25" customHeight="1">
      <c r="A1696" s="26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</row>
    <row r="1697" ht="14.25" customHeight="1">
      <c r="A1697" s="26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</row>
    <row r="1698" ht="14.25" customHeight="1">
      <c r="A1698" s="26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</row>
    <row r="1699" ht="14.25" customHeight="1">
      <c r="A1699" s="26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</row>
    <row r="1700" ht="14.25" customHeight="1">
      <c r="A1700" s="26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</row>
    <row r="1701" ht="14.25" customHeight="1">
      <c r="A1701" s="26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</row>
    <row r="1702" ht="14.25" customHeight="1">
      <c r="A1702" s="26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</row>
    <row r="1703" ht="14.25" customHeight="1">
      <c r="A1703" s="26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</row>
    <row r="1704" ht="14.25" customHeight="1">
      <c r="A1704" s="26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</row>
    <row r="1705" ht="14.25" customHeight="1">
      <c r="A1705" s="26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</row>
    <row r="1706" ht="14.25" customHeight="1">
      <c r="A1706" s="26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</row>
    <row r="1707" ht="14.25" customHeight="1">
      <c r="A1707" s="26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</row>
    <row r="1708" ht="14.25" customHeight="1">
      <c r="A1708" s="26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</row>
    <row r="1709" ht="14.25" customHeight="1">
      <c r="A1709" s="26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</row>
    <row r="1710" ht="14.25" customHeight="1">
      <c r="A1710" s="26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</row>
    <row r="1711" ht="14.25" customHeight="1">
      <c r="A1711" s="26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</row>
    <row r="1712" ht="14.25" customHeight="1">
      <c r="A1712" s="26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</row>
    <row r="1713" ht="14.25" customHeight="1">
      <c r="A1713" s="26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</row>
    <row r="1714" ht="14.25" customHeight="1">
      <c r="A1714" s="26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</row>
    <row r="1715" ht="14.25" customHeight="1">
      <c r="A1715" s="26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</row>
    <row r="1716" ht="14.25" customHeight="1">
      <c r="A1716" s="26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</row>
    <row r="1717" ht="14.25" customHeight="1">
      <c r="A1717" s="26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</row>
    <row r="1718" ht="14.25" customHeight="1">
      <c r="A1718" s="26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</row>
    <row r="1719" ht="14.25" customHeight="1">
      <c r="A1719" s="26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</row>
    <row r="1720" ht="14.25" customHeight="1">
      <c r="A1720" s="26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</row>
    <row r="1721" ht="14.25" customHeight="1">
      <c r="A1721" s="26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</row>
    <row r="1722" ht="14.25" customHeight="1">
      <c r="A1722" s="26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</row>
    <row r="1723" ht="14.25" customHeight="1">
      <c r="A1723" s="26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</row>
    <row r="1724" ht="14.25" customHeight="1">
      <c r="A1724" s="26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</row>
    <row r="1725" ht="14.25" customHeight="1">
      <c r="A1725" s="26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</row>
    <row r="1726" ht="14.25" customHeight="1">
      <c r="A1726" s="26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</row>
    <row r="1727" ht="14.25" customHeight="1">
      <c r="A1727" s="26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</row>
    <row r="1728" ht="14.25" customHeight="1">
      <c r="A1728" s="26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</row>
    <row r="1729" ht="14.25" customHeight="1">
      <c r="A1729" s="26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</row>
    <row r="1730" ht="14.25" customHeight="1">
      <c r="A1730" s="26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</row>
    <row r="1731" ht="14.25" customHeight="1">
      <c r="A1731" s="26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</row>
    <row r="1732" ht="14.25" customHeight="1">
      <c r="A1732" s="26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</row>
    <row r="1733" ht="14.25" customHeight="1">
      <c r="A1733" s="26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</row>
    <row r="1734" ht="14.25" customHeight="1">
      <c r="A1734" s="26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</row>
    <row r="1735" ht="14.25" customHeight="1">
      <c r="A1735" s="26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</row>
    <row r="1736" ht="14.25" customHeight="1">
      <c r="A1736" s="26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</row>
    <row r="1737" ht="14.25" customHeight="1">
      <c r="A1737" s="26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</row>
    <row r="1738" ht="14.25" customHeight="1">
      <c r="A1738" s="26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</row>
    <row r="1739" ht="14.25" customHeight="1">
      <c r="A1739" s="26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</row>
    <row r="1740" ht="14.25" customHeight="1">
      <c r="A1740" s="26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</row>
    <row r="1741" ht="14.25" customHeight="1">
      <c r="A1741" s="26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</row>
    <row r="1742" ht="14.25" customHeight="1">
      <c r="A1742" s="26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</row>
    <row r="1743" ht="14.25" customHeight="1">
      <c r="A1743" s="26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</row>
    <row r="1744" ht="14.25" customHeight="1">
      <c r="A1744" s="26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</row>
    <row r="1745" ht="14.25" customHeight="1">
      <c r="A1745" s="26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</row>
    <row r="1746" ht="14.25" customHeight="1">
      <c r="A1746" s="26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</row>
    <row r="1747" ht="14.25" customHeight="1">
      <c r="A1747" s="26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</row>
    <row r="1748" ht="14.25" customHeight="1">
      <c r="A1748" s="26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</row>
    <row r="1749" ht="14.25" customHeight="1">
      <c r="A1749" s="26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</row>
    <row r="1750" ht="14.25" customHeight="1">
      <c r="A1750" s="26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</row>
    <row r="1751" ht="14.25" customHeight="1">
      <c r="A1751" s="26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</row>
    <row r="1752" ht="14.25" customHeight="1">
      <c r="A1752" s="26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</row>
    <row r="1753" ht="14.25" customHeight="1">
      <c r="A1753" s="26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</row>
    <row r="1754" ht="14.25" customHeight="1">
      <c r="A1754" s="26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</row>
    <row r="1755" ht="14.25" customHeight="1">
      <c r="A1755" s="26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</row>
    <row r="1756" ht="14.25" customHeight="1">
      <c r="A1756" s="26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</row>
    <row r="1757" ht="14.25" customHeight="1">
      <c r="A1757" s="26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</row>
    <row r="1758" ht="14.25" customHeight="1">
      <c r="A1758" s="26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</row>
    <row r="1759" ht="14.25" customHeight="1">
      <c r="A1759" s="26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</row>
    <row r="1760" ht="14.25" customHeight="1">
      <c r="A1760" s="26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</row>
    <row r="1761" ht="14.25" customHeight="1">
      <c r="A1761" s="26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</row>
    <row r="1762" ht="14.25" customHeight="1">
      <c r="A1762" s="26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</row>
    <row r="1763" ht="14.25" customHeight="1">
      <c r="A1763" s="26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</row>
    <row r="1764" ht="14.25" customHeight="1">
      <c r="A1764" s="26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</row>
    <row r="1765" ht="14.25" customHeight="1">
      <c r="A1765" s="26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</row>
    <row r="1766" ht="14.25" customHeight="1">
      <c r="A1766" s="26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</row>
    <row r="1767" ht="14.25" customHeight="1">
      <c r="A1767" s="26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</row>
    <row r="1768" ht="14.25" customHeight="1">
      <c r="A1768" s="26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</row>
    <row r="1769" ht="14.25" customHeight="1">
      <c r="A1769" s="26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</row>
    <row r="1770" ht="14.25" customHeight="1">
      <c r="A1770" s="26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</row>
    <row r="1771" ht="14.25" customHeight="1">
      <c r="A1771" s="26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</row>
    <row r="1772" ht="14.25" customHeight="1">
      <c r="A1772" s="26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</row>
    <row r="1773" ht="14.25" customHeight="1">
      <c r="A1773" s="26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</row>
    <row r="1774" ht="14.25" customHeight="1">
      <c r="A1774" s="26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</row>
    <row r="1775" ht="14.25" customHeight="1">
      <c r="A1775" s="26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</row>
    <row r="1776" ht="14.25" customHeight="1">
      <c r="A1776" s="26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</row>
    <row r="1777" ht="14.25" customHeight="1">
      <c r="A1777" s="26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</row>
    <row r="1778" ht="14.25" customHeight="1">
      <c r="A1778" s="26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</row>
    <row r="1779" ht="14.25" customHeight="1">
      <c r="A1779" s="26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</row>
    <row r="1780" ht="14.25" customHeight="1">
      <c r="A1780" s="26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</row>
    <row r="1781" ht="14.25" customHeight="1">
      <c r="A1781" s="26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</row>
    <row r="1782" ht="14.25" customHeight="1">
      <c r="A1782" s="26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</row>
    <row r="1783" ht="14.25" customHeight="1">
      <c r="A1783" s="26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</row>
    <row r="1784" ht="14.25" customHeight="1">
      <c r="A1784" s="26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</row>
    <row r="1785" ht="14.25" customHeight="1">
      <c r="A1785" s="26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</row>
    <row r="1786" ht="14.25" customHeight="1">
      <c r="A1786" s="26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</row>
    <row r="1787" ht="14.25" customHeight="1">
      <c r="A1787" s="26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</row>
    <row r="1788" ht="14.25" customHeight="1">
      <c r="A1788" s="26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</row>
    <row r="1789" ht="14.25" customHeight="1">
      <c r="A1789" s="26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</row>
    <row r="1790" ht="14.25" customHeight="1">
      <c r="A1790" s="26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</row>
    <row r="1791" ht="14.25" customHeight="1">
      <c r="A1791" s="26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</row>
    <row r="1792" ht="14.25" customHeight="1">
      <c r="A1792" s="26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</row>
    <row r="1793" ht="14.25" customHeight="1">
      <c r="A1793" s="26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</row>
    <row r="1794" ht="14.25" customHeight="1">
      <c r="A1794" s="26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</row>
    <row r="1795" ht="14.25" customHeight="1">
      <c r="A1795" s="26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</row>
    <row r="1796" ht="14.25" customHeight="1">
      <c r="A1796" s="26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</row>
    <row r="1797" ht="14.25" customHeight="1">
      <c r="A1797" s="26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</row>
    <row r="1798" ht="14.25" customHeight="1">
      <c r="A1798" s="26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</row>
    <row r="1799" ht="14.25" customHeight="1">
      <c r="A1799" s="26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</row>
    <row r="1800" ht="14.25" customHeight="1">
      <c r="A1800" s="26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</row>
    <row r="1801" ht="14.25" customHeight="1">
      <c r="A1801" s="26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</row>
    <row r="1802" ht="14.25" customHeight="1">
      <c r="A1802" s="26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</row>
    <row r="1803" ht="14.25" customHeight="1">
      <c r="A1803" s="26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</row>
    <row r="1804" ht="14.25" customHeight="1">
      <c r="A1804" s="26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</row>
    <row r="1805" ht="14.25" customHeight="1">
      <c r="A1805" s="26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</row>
    <row r="1806" ht="14.25" customHeight="1">
      <c r="A1806" s="26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</row>
    <row r="1807" ht="14.25" customHeight="1">
      <c r="A1807" s="26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</row>
    <row r="1808" ht="14.25" customHeight="1">
      <c r="A1808" s="26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</row>
    <row r="1809" ht="14.25" customHeight="1">
      <c r="A1809" s="26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</row>
    <row r="1810" ht="14.25" customHeight="1">
      <c r="A1810" s="26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</row>
    <row r="1811" ht="14.25" customHeight="1">
      <c r="A1811" s="26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</row>
    <row r="1812" ht="14.25" customHeight="1">
      <c r="A1812" s="26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</row>
    <row r="1813" ht="14.25" customHeight="1">
      <c r="A1813" s="26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</row>
    <row r="1814" ht="14.25" customHeight="1">
      <c r="A1814" s="26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</row>
    <row r="1815" ht="14.25" customHeight="1">
      <c r="A1815" s="26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</row>
    <row r="1816" ht="14.25" customHeight="1">
      <c r="A1816" s="26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</row>
    <row r="1817" ht="14.25" customHeight="1">
      <c r="A1817" s="26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</row>
    <row r="1818" ht="14.25" customHeight="1">
      <c r="A1818" s="26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</row>
    <row r="1819" ht="14.25" customHeight="1">
      <c r="A1819" s="26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</row>
    <row r="1820" ht="14.25" customHeight="1">
      <c r="A1820" s="26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</row>
    <row r="1821" ht="14.25" customHeight="1">
      <c r="A1821" s="26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</row>
    <row r="1822" ht="14.25" customHeight="1">
      <c r="A1822" s="26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</row>
    <row r="1823" ht="14.25" customHeight="1">
      <c r="A1823" s="26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</row>
    <row r="1824" ht="14.25" customHeight="1">
      <c r="A1824" s="26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</row>
    <row r="1825" ht="14.25" customHeight="1">
      <c r="A1825" s="26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</row>
    <row r="1826" ht="14.25" customHeight="1">
      <c r="A1826" s="26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</row>
    <row r="1827" ht="14.25" customHeight="1">
      <c r="A1827" s="26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</row>
    <row r="1828" ht="14.25" customHeight="1">
      <c r="A1828" s="26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</row>
    <row r="1829" ht="14.25" customHeight="1">
      <c r="A1829" s="26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</row>
    <row r="1830" ht="14.25" customHeight="1">
      <c r="A1830" s="26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</row>
    <row r="1831" ht="14.25" customHeight="1">
      <c r="A1831" s="26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</row>
    <row r="1832" ht="14.25" customHeight="1">
      <c r="A1832" s="26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</row>
    <row r="1833" ht="14.25" customHeight="1">
      <c r="A1833" s="26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</row>
    <row r="1834" ht="14.25" customHeight="1">
      <c r="A1834" s="26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</row>
    <row r="1835" ht="14.25" customHeight="1">
      <c r="A1835" s="26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</row>
    <row r="1836" ht="14.25" customHeight="1">
      <c r="A1836" s="26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</row>
    <row r="1837" ht="14.25" customHeight="1">
      <c r="A1837" s="26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</row>
    <row r="1838" ht="14.25" customHeight="1">
      <c r="A1838" s="26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</row>
    <row r="1839" ht="14.25" customHeight="1">
      <c r="A1839" s="26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</row>
    <row r="1840" ht="14.25" customHeight="1">
      <c r="A1840" s="26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</row>
    <row r="1841" ht="14.25" customHeight="1">
      <c r="A1841" s="26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</row>
    <row r="1842" ht="14.25" customHeight="1">
      <c r="A1842" s="26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</row>
    <row r="1843" ht="14.25" customHeight="1">
      <c r="A1843" s="26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</row>
    <row r="1844" ht="14.25" customHeight="1">
      <c r="A1844" s="26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</row>
    <row r="1845" ht="14.25" customHeight="1">
      <c r="A1845" s="26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</row>
    <row r="1846" ht="14.25" customHeight="1">
      <c r="A1846" s="26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</row>
    <row r="1847" ht="14.25" customHeight="1">
      <c r="A1847" s="26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</row>
    <row r="1848" ht="14.25" customHeight="1">
      <c r="A1848" s="26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</row>
    <row r="1849" ht="14.25" customHeight="1">
      <c r="A1849" s="26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</row>
    <row r="1850" ht="14.25" customHeight="1">
      <c r="A1850" s="26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</row>
    <row r="1851" ht="14.25" customHeight="1">
      <c r="A1851" s="26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</row>
    <row r="1852" ht="14.25" customHeight="1">
      <c r="A1852" s="26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</row>
    <row r="1853" ht="14.25" customHeight="1">
      <c r="A1853" s="26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</row>
    <row r="1854" ht="14.25" customHeight="1">
      <c r="A1854" s="26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</row>
    <row r="1855" ht="14.25" customHeight="1">
      <c r="A1855" s="26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</row>
    <row r="1856" ht="14.25" customHeight="1">
      <c r="A1856" s="26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</row>
    <row r="1857" ht="14.25" customHeight="1">
      <c r="A1857" s="26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</row>
    <row r="1858" ht="14.25" customHeight="1">
      <c r="A1858" s="26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</row>
    <row r="1859" ht="14.25" customHeight="1">
      <c r="A1859" s="26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</row>
    <row r="1860" ht="14.25" customHeight="1">
      <c r="A1860" s="26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</row>
    <row r="1861" ht="14.25" customHeight="1">
      <c r="A1861" s="26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</row>
    <row r="1862" ht="14.25" customHeight="1">
      <c r="A1862" s="26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</row>
    <row r="1863" ht="14.25" customHeight="1">
      <c r="A1863" s="26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</row>
    <row r="1864" ht="14.25" customHeight="1">
      <c r="A1864" s="26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</row>
    <row r="1865" ht="14.25" customHeight="1">
      <c r="A1865" s="26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</row>
    <row r="1866" ht="14.25" customHeight="1">
      <c r="A1866" s="26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</row>
    <row r="1867" ht="14.25" customHeight="1">
      <c r="A1867" s="26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</row>
    <row r="1868" ht="14.25" customHeight="1">
      <c r="A1868" s="26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</row>
    <row r="1869" ht="14.25" customHeight="1">
      <c r="A1869" s="26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</row>
    <row r="1870" ht="14.25" customHeight="1">
      <c r="A1870" s="26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</row>
    <row r="1871" ht="14.25" customHeight="1">
      <c r="A1871" s="26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</row>
    <row r="1872" ht="14.25" customHeight="1">
      <c r="A1872" s="26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</row>
    <row r="1873" ht="14.25" customHeight="1">
      <c r="A1873" s="26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</row>
    <row r="1874" ht="14.25" customHeight="1">
      <c r="A1874" s="26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</row>
    <row r="1875" ht="14.25" customHeight="1">
      <c r="A1875" s="26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</row>
    <row r="1876" ht="14.25" customHeight="1">
      <c r="A1876" s="26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</row>
    <row r="1877" ht="14.25" customHeight="1">
      <c r="A1877" s="26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</row>
    <row r="1878" ht="14.25" customHeight="1">
      <c r="A1878" s="26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</row>
    <row r="1879" ht="14.25" customHeight="1">
      <c r="A1879" s="26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</row>
    <row r="1880" ht="14.25" customHeight="1">
      <c r="A1880" s="26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</row>
    <row r="1881" ht="14.25" customHeight="1">
      <c r="A1881" s="26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</row>
    <row r="1882" ht="14.25" customHeight="1">
      <c r="A1882" s="26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</row>
    <row r="1883" ht="14.25" customHeight="1">
      <c r="A1883" s="26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</row>
    <row r="1884" ht="14.25" customHeight="1">
      <c r="A1884" s="26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</row>
    <row r="1885" ht="14.25" customHeight="1">
      <c r="A1885" s="26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</row>
    <row r="1886" ht="14.25" customHeight="1">
      <c r="A1886" s="26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</row>
    <row r="1887" ht="14.25" customHeight="1">
      <c r="A1887" s="26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</row>
    <row r="1888" ht="14.25" customHeight="1">
      <c r="A1888" s="26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</row>
    <row r="1889" ht="14.25" customHeight="1">
      <c r="A1889" s="26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</row>
    <row r="1890" ht="14.25" customHeight="1">
      <c r="A1890" s="26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</row>
    <row r="1891" ht="14.25" customHeight="1">
      <c r="A1891" s="26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</row>
    <row r="1892" ht="14.25" customHeight="1">
      <c r="A1892" s="26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</row>
    <row r="1893" ht="14.25" customHeight="1">
      <c r="A1893" s="26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</row>
    <row r="1894" ht="14.25" customHeight="1">
      <c r="A1894" s="26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</row>
    <row r="1895" ht="14.25" customHeight="1">
      <c r="A1895" s="26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</row>
    <row r="1896" ht="14.25" customHeight="1">
      <c r="A1896" s="26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</row>
    <row r="1897" ht="14.25" customHeight="1">
      <c r="A1897" s="26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</row>
    <row r="1898" ht="14.25" customHeight="1">
      <c r="A1898" s="26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</row>
    <row r="1899" ht="14.25" customHeight="1">
      <c r="A1899" s="26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</row>
    <row r="1900" ht="14.25" customHeight="1">
      <c r="A1900" s="26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</row>
    <row r="1901" ht="14.25" customHeight="1">
      <c r="A1901" s="26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</row>
    <row r="1902" ht="14.25" customHeight="1">
      <c r="A1902" s="26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</row>
    <row r="1903" ht="14.25" customHeight="1">
      <c r="A1903" s="26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</row>
    <row r="1904" ht="14.25" customHeight="1">
      <c r="A1904" s="26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</row>
    <row r="1905" ht="14.25" customHeight="1">
      <c r="A1905" s="26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</row>
    <row r="1906" ht="14.25" customHeight="1">
      <c r="A1906" s="26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</row>
    <row r="1907" ht="14.25" customHeight="1">
      <c r="A1907" s="26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</row>
    <row r="1908" ht="14.25" customHeight="1">
      <c r="A1908" s="26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</row>
    <row r="1909" ht="14.25" customHeight="1">
      <c r="A1909" s="26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</row>
    <row r="1910" ht="14.25" customHeight="1">
      <c r="A1910" s="26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</row>
    <row r="1911" ht="14.25" customHeight="1">
      <c r="A1911" s="26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</row>
    <row r="1912" ht="14.25" customHeight="1">
      <c r="A1912" s="26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</row>
    <row r="1913" ht="14.25" customHeight="1">
      <c r="A1913" s="26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</row>
    <row r="1914" ht="14.25" customHeight="1">
      <c r="A1914" s="26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</row>
    <row r="1915" ht="14.25" customHeight="1">
      <c r="A1915" s="26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</row>
    <row r="1916" ht="14.25" customHeight="1">
      <c r="A1916" s="26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</row>
    <row r="1917" ht="14.25" customHeight="1">
      <c r="A1917" s="26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</row>
    <row r="1918" ht="14.25" customHeight="1">
      <c r="A1918" s="26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</row>
    <row r="1919" ht="14.25" customHeight="1">
      <c r="A1919" s="26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</row>
    <row r="1920" ht="14.25" customHeight="1">
      <c r="A1920" s="26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</row>
    <row r="1921" ht="14.25" customHeight="1">
      <c r="A1921" s="26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</row>
    <row r="1922" ht="14.25" customHeight="1">
      <c r="A1922" s="26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</row>
    <row r="1923" ht="14.25" customHeight="1">
      <c r="A1923" s="26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</row>
    <row r="1924" ht="14.25" customHeight="1">
      <c r="A1924" s="26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</row>
    <row r="1925" ht="14.25" customHeight="1">
      <c r="A1925" s="26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</row>
    <row r="1926" ht="14.25" customHeight="1">
      <c r="A1926" s="26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</row>
    <row r="1927" ht="14.25" customHeight="1">
      <c r="A1927" s="26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</row>
    <row r="1928" ht="14.25" customHeight="1">
      <c r="A1928" s="26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</row>
    <row r="1929" ht="14.25" customHeight="1">
      <c r="A1929" s="26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</row>
    <row r="1930" ht="14.25" customHeight="1">
      <c r="A1930" s="26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</row>
    <row r="1931" ht="14.25" customHeight="1">
      <c r="A1931" s="26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</row>
    <row r="1932" ht="14.25" customHeight="1">
      <c r="A1932" s="26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</row>
    <row r="1933" ht="14.25" customHeight="1">
      <c r="A1933" s="26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</row>
    <row r="1934" ht="14.25" customHeight="1">
      <c r="A1934" s="26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</row>
    <row r="1935" ht="14.25" customHeight="1">
      <c r="A1935" s="26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</row>
    <row r="1936" ht="14.25" customHeight="1">
      <c r="A1936" s="26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</row>
    <row r="1937" ht="14.25" customHeight="1">
      <c r="A1937" s="26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</row>
    <row r="1938" ht="14.25" customHeight="1">
      <c r="A1938" s="26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</row>
    <row r="1939" ht="14.25" customHeight="1">
      <c r="A1939" s="26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</row>
    <row r="1940" ht="14.25" customHeight="1">
      <c r="A1940" s="26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</row>
    <row r="1941" ht="14.25" customHeight="1">
      <c r="A1941" s="26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</row>
    <row r="1942" ht="14.25" customHeight="1">
      <c r="A1942" s="26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</row>
    <row r="1943" ht="14.25" customHeight="1">
      <c r="A1943" s="26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</row>
    <row r="1944" ht="14.25" customHeight="1">
      <c r="A1944" s="26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</row>
    <row r="1945" ht="14.25" customHeight="1">
      <c r="A1945" s="26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</row>
    <row r="1946" ht="14.25" customHeight="1">
      <c r="A1946" s="26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</row>
    <row r="1947" ht="14.25" customHeight="1">
      <c r="A1947" s="26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</row>
    <row r="1948" ht="14.25" customHeight="1">
      <c r="A1948" s="26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</row>
    <row r="1949" ht="14.25" customHeight="1">
      <c r="A1949" s="26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</row>
    <row r="1950" ht="14.25" customHeight="1">
      <c r="A1950" s="26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</row>
    <row r="1951" ht="14.25" customHeight="1">
      <c r="A1951" s="26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</row>
    <row r="1952" ht="14.25" customHeight="1">
      <c r="A1952" s="26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</row>
    <row r="1953" ht="14.25" customHeight="1">
      <c r="A1953" s="26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</row>
    <row r="1954" ht="14.25" customHeight="1">
      <c r="A1954" s="26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</row>
    <row r="1955" ht="14.25" customHeight="1">
      <c r="A1955" s="26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</row>
    <row r="1956" ht="14.25" customHeight="1">
      <c r="A1956" s="26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</row>
    <row r="1957" ht="14.25" customHeight="1">
      <c r="A1957" s="26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</row>
    <row r="1958" ht="14.25" customHeight="1">
      <c r="A1958" s="26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</row>
    <row r="1959" ht="14.25" customHeight="1">
      <c r="A1959" s="26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</row>
    <row r="1960" ht="14.25" customHeight="1">
      <c r="A1960" s="26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</row>
    <row r="1961" ht="14.25" customHeight="1">
      <c r="A1961" s="26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</row>
    <row r="1962" ht="14.25" customHeight="1">
      <c r="A1962" s="26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</row>
    <row r="1963" ht="14.25" customHeight="1">
      <c r="A1963" s="26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</row>
    <row r="1964" ht="14.25" customHeight="1">
      <c r="A1964" s="26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</row>
    <row r="1965" ht="14.25" customHeight="1">
      <c r="A1965" s="26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</row>
    <row r="1966" ht="14.25" customHeight="1">
      <c r="A1966" s="26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</row>
    <row r="1967" ht="14.25" customHeight="1">
      <c r="A1967" s="26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</row>
    <row r="1968" ht="14.25" customHeight="1">
      <c r="A1968" s="26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</row>
    <row r="1969" ht="14.25" customHeight="1">
      <c r="A1969" s="26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</row>
    <row r="1970" ht="14.25" customHeight="1">
      <c r="A1970" s="26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</row>
    <row r="1971" ht="14.25" customHeight="1">
      <c r="A1971" s="26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</row>
    <row r="1972" ht="14.25" customHeight="1">
      <c r="A1972" s="26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</row>
    <row r="1973" ht="14.25" customHeight="1">
      <c r="A1973" s="26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</row>
    <row r="1974" ht="14.25" customHeight="1">
      <c r="A1974" s="26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</row>
    <row r="1975" ht="14.25" customHeight="1">
      <c r="A1975" s="26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</row>
    <row r="1976" ht="14.25" customHeight="1">
      <c r="A1976" s="26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</row>
    <row r="1977" ht="14.25" customHeight="1">
      <c r="A1977" s="26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</row>
    <row r="1978" ht="14.25" customHeight="1">
      <c r="A1978" s="26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</row>
    <row r="1979" ht="14.25" customHeight="1">
      <c r="A1979" s="26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</row>
    <row r="1980" ht="14.25" customHeight="1">
      <c r="A1980" s="26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</row>
    <row r="1981" ht="14.25" customHeight="1">
      <c r="A1981" s="26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</row>
    <row r="1982" ht="14.25" customHeight="1">
      <c r="A1982" s="26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</row>
    <row r="1983" ht="14.25" customHeight="1">
      <c r="A1983" s="26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</row>
    <row r="1984" ht="14.25" customHeight="1">
      <c r="A1984" s="26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</row>
    <row r="1985" ht="14.25" customHeight="1">
      <c r="A1985" s="26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</row>
    <row r="1986" ht="14.25" customHeight="1">
      <c r="A1986" s="26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</row>
    <row r="1987" ht="14.25" customHeight="1">
      <c r="A1987" s="26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</row>
    <row r="1988" ht="14.25" customHeight="1">
      <c r="A1988" s="26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</row>
  </sheetData>
  <conditionalFormatting sqref="A986:AC986">
    <cfRule type="notContainsBlanks" dxfId="0" priority="1">
      <formula>LEN(TRIM(A986))&gt;0</formula>
    </cfRule>
  </conditionalFormatting>
  <printOptions gridLines="1"/>
  <pageMargins bottom="0.75" footer="0.0" header="0.0" left="0.7" right="0.7" top="0.75"/>
  <pageSetup scale="5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0"/>
    <col customWidth="1" min="4" max="4" width="28.71"/>
    <col customWidth="1" min="5" max="5" width="29.29"/>
    <col customWidth="1" min="6" max="6" width="44.86"/>
    <col customWidth="1" min="7" max="7" width="29.43"/>
    <col customWidth="1" min="8" max="8" width="16.71"/>
    <col customWidth="1" min="9" max="9" width="70.14"/>
    <col customWidth="1" min="10" max="10" width="22.43"/>
    <col customWidth="1" min="11" max="11" width="17.0"/>
    <col customWidth="1" min="14" max="14" width="27.86"/>
    <col customWidth="1" min="17" max="17" width="29.0"/>
  </cols>
  <sheetData>
    <row r="1" ht="14.25" customHeight="1">
      <c r="A1" s="6"/>
      <c r="B1" s="87" t="s">
        <v>1947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</v>
      </c>
      <c r="H1" s="6" t="s">
        <v>6</v>
      </c>
      <c r="I1" s="6" t="s">
        <v>7</v>
      </c>
      <c r="J1" s="87" t="s">
        <v>1292</v>
      </c>
      <c r="K1" s="87" t="s">
        <v>516</v>
      </c>
      <c r="L1" s="6" t="s">
        <v>10</v>
      </c>
      <c r="M1" s="6" t="s">
        <v>11</v>
      </c>
      <c r="N1" s="6" t="s">
        <v>12</v>
      </c>
      <c r="O1" s="87" t="s">
        <v>1293</v>
      </c>
      <c r="P1" s="87" t="s">
        <v>1294</v>
      </c>
      <c r="Q1" s="6" t="s">
        <v>15</v>
      </c>
      <c r="R1" s="87" t="s">
        <v>1295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141" t="s">
        <v>279</v>
      </c>
      <c r="B2" s="142"/>
      <c r="C2" s="143">
        <v>44663.0</v>
      </c>
      <c r="D2" s="8" t="s">
        <v>280</v>
      </c>
      <c r="G2" s="60" t="s">
        <v>58</v>
      </c>
      <c r="H2" s="1" t="s">
        <v>1368</v>
      </c>
      <c r="I2" s="60" t="s">
        <v>1774</v>
      </c>
      <c r="J2" s="60" t="s">
        <v>1139</v>
      </c>
      <c r="K2" s="60" t="s">
        <v>1286</v>
      </c>
    </row>
    <row r="3">
      <c r="A3" s="141" t="s">
        <v>536</v>
      </c>
      <c r="B3" s="142"/>
      <c r="C3" s="143">
        <v>44663.0</v>
      </c>
      <c r="D3" s="132" t="s">
        <v>537</v>
      </c>
      <c r="G3" s="60" t="s">
        <v>58</v>
      </c>
      <c r="H3" s="1" t="s">
        <v>1368</v>
      </c>
      <c r="I3" s="60" t="s">
        <v>1774</v>
      </c>
      <c r="J3" s="60" t="s">
        <v>1139</v>
      </c>
      <c r="K3" s="60" t="s">
        <v>1766</v>
      </c>
    </row>
    <row r="4">
      <c r="A4" s="141" t="s">
        <v>764</v>
      </c>
      <c r="B4" s="141"/>
      <c r="C4" s="143">
        <v>44663.0</v>
      </c>
      <c r="D4" s="132" t="s">
        <v>765</v>
      </c>
      <c r="H4" s="1" t="s">
        <v>1368</v>
      </c>
      <c r="I4" s="60" t="s">
        <v>1774</v>
      </c>
      <c r="J4" s="60" t="s">
        <v>1139</v>
      </c>
      <c r="K4" s="144" t="s">
        <v>1286</v>
      </c>
    </row>
    <row r="5">
      <c r="A5" s="141" t="s">
        <v>863</v>
      </c>
      <c r="B5" s="141"/>
      <c r="C5" s="143">
        <v>44663.0</v>
      </c>
      <c r="D5" s="132" t="s">
        <v>864</v>
      </c>
      <c r="G5" s="60" t="s">
        <v>1948</v>
      </c>
      <c r="H5" s="1" t="s">
        <v>1368</v>
      </c>
      <c r="I5" s="60" t="s">
        <v>1774</v>
      </c>
      <c r="J5" s="60" t="s">
        <v>1139</v>
      </c>
      <c r="K5" s="144" t="s">
        <v>1286</v>
      </c>
    </row>
    <row r="6">
      <c r="A6" s="141" t="s">
        <v>697</v>
      </c>
      <c r="B6" s="141"/>
      <c r="C6" s="143">
        <v>44670.0</v>
      </c>
      <c r="D6" s="17" t="s">
        <v>1949</v>
      </c>
      <c r="G6" s="60" t="s">
        <v>1950</v>
      </c>
      <c r="H6" s="1" t="s">
        <v>1368</v>
      </c>
      <c r="I6" s="60" t="s">
        <v>1951</v>
      </c>
      <c r="J6" s="60" t="s">
        <v>1139</v>
      </c>
      <c r="K6" s="144" t="s">
        <v>1286</v>
      </c>
    </row>
    <row r="7">
      <c r="A7" s="141" t="s">
        <v>1287</v>
      </c>
      <c r="B7" s="141"/>
      <c r="C7" s="143">
        <v>44677.0</v>
      </c>
      <c r="D7" s="17" t="s">
        <v>1952</v>
      </c>
      <c r="G7" s="60" t="s">
        <v>1091</v>
      </c>
      <c r="H7" s="1" t="s">
        <v>1368</v>
      </c>
      <c r="I7" s="60" t="s">
        <v>1430</v>
      </c>
      <c r="J7" s="60" t="s">
        <v>1139</v>
      </c>
      <c r="K7" s="144" t="s">
        <v>1286</v>
      </c>
    </row>
    <row r="8">
      <c r="A8" s="141" t="s">
        <v>585</v>
      </c>
      <c r="B8" s="141"/>
      <c r="C8" s="143">
        <v>44677.0</v>
      </c>
      <c r="D8" s="51" t="s">
        <v>586</v>
      </c>
      <c r="G8" s="60" t="s">
        <v>1091</v>
      </c>
      <c r="H8" s="1" t="s">
        <v>1368</v>
      </c>
      <c r="I8" s="60" t="s">
        <v>1430</v>
      </c>
      <c r="J8" s="60" t="s">
        <v>1139</v>
      </c>
      <c r="K8" s="60" t="s">
        <v>1766</v>
      </c>
    </row>
    <row r="9">
      <c r="A9" s="141" t="s">
        <v>685</v>
      </c>
      <c r="B9" s="141"/>
      <c r="C9" s="143">
        <v>44677.0</v>
      </c>
      <c r="D9" s="51" t="s">
        <v>686</v>
      </c>
      <c r="G9" s="60" t="s">
        <v>1091</v>
      </c>
      <c r="H9" s="1" t="s">
        <v>1368</v>
      </c>
      <c r="I9" s="60" t="s">
        <v>1430</v>
      </c>
      <c r="J9" s="60" t="s">
        <v>1139</v>
      </c>
      <c r="K9" s="144" t="s">
        <v>1286</v>
      </c>
    </row>
    <row r="10">
      <c r="A10" s="141" t="s">
        <v>547</v>
      </c>
      <c r="B10" s="141"/>
      <c r="C10" s="143">
        <v>44677.0</v>
      </c>
      <c r="D10" s="8" t="s">
        <v>548</v>
      </c>
      <c r="G10" s="60" t="s">
        <v>1091</v>
      </c>
      <c r="H10" s="1" t="s">
        <v>1368</v>
      </c>
      <c r="I10" s="60" t="s">
        <v>1430</v>
      </c>
      <c r="J10" s="60" t="s">
        <v>1139</v>
      </c>
      <c r="K10" s="145" t="s">
        <v>1286</v>
      </c>
    </row>
    <row r="11">
      <c r="A11" s="141" t="s">
        <v>727</v>
      </c>
      <c r="B11" s="141"/>
      <c r="C11" s="143">
        <v>44678.0</v>
      </c>
      <c r="D11" s="17" t="s">
        <v>1953</v>
      </c>
      <c r="G11" s="60" t="s">
        <v>1091</v>
      </c>
      <c r="H11" s="1" t="s">
        <v>1368</v>
      </c>
      <c r="I11" s="60" t="s">
        <v>1954</v>
      </c>
      <c r="J11" s="60" t="s">
        <v>1139</v>
      </c>
      <c r="K11" s="60" t="s">
        <v>1286</v>
      </c>
    </row>
    <row r="12">
      <c r="A12" s="141" t="s">
        <v>201</v>
      </c>
      <c r="B12" s="141"/>
      <c r="C12" s="143">
        <v>44664.0</v>
      </c>
      <c r="D12" s="146" t="s">
        <v>1955</v>
      </c>
      <c r="G12" s="60" t="s">
        <v>1091</v>
      </c>
      <c r="H12" s="1" t="s">
        <v>1368</v>
      </c>
      <c r="I12" s="60" t="s">
        <v>1430</v>
      </c>
      <c r="J12" s="60" t="s">
        <v>1139</v>
      </c>
      <c r="K12" s="60" t="s">
        <v>1286</v>
      </c>
    </row>
    <row r="13">
      <c r="A13" s="141" t="s">
        <v>1956</v>
      </c>
      <c r="B13" s="141"/>
      <c r="C13" s="143">
        <v>44664.0</v>
      </c>
      <c r="D13" s="8" t="s">
        <v>206</v>
      </c>
      <c r="G13" s="60" t="s">
        <v>1091</v>
      </c>
      <c r="H13" s="1" t="s">
        <v>1368</v>
      </c>
      <c r="I13" s="60" t="s">
        <v>1430</v>
      </c>
      <c r="J13" s="60" t="s">
        <v>1139</v>
      </c>
      <c r="K13" s="60" t="s">
        <v>1286</v>
      </c>
    </row>
    <row r="15">
      <c r="A15" s="141" t="s">
        <v>578</v>
      </c>
      <c r="B15" s="94">
        <v>2.0</v>
      </c>
      <c r="C15" s="143">
        <v>44707.0</v>
      </c>
      <c r="D15" s="146" t="s">
        <v>471</v>
      </c>
      <c r="G15" s="60" t="s">
        <v>852</v>
      </c>
      <c r="H15" s="1" t="s">
        <v>1368</v>
      </c>
      <c r="I15" s="147"/>
      <c r="J15" s="60" t="s">
        <v>1467</v>
      </c>
      <c r="K15" s="60" t="s">
        <v>1957</v>
      </c>
    </row>
    <row r="16">
      <c r="A16" s="141" t="s">
        <v>1246</v>
      </c>
      <c r="B16" s="94">
        <v>2.0</v>
      </c>
      <c r="C16" s="143">
        <v>44707.0</v>
      </c>
      <c r="D16" s="17" t="s">
        <v>1958</v>
      </c>
      <c r="G16" s="60" t="s">
        <v>881</v>
      </c>
      <c r="H16" s="1" t="s">
        <v>1368</v>
      </c>
      <c r="I16" s="148"/>
      <c r="J16" s="60" t="s">
        <v>1467</v>
      </c>
      <c r="K16" s="60" t="s">
        <v>1957</v>
      </c>
    </row>
    <row r="17">
      <c r="A17" s="141" t="s">
        <v>276</v>
      </c>
      <c r="B17" s="94">
        <v>2.0</v>
      </c>
      <c r="D17" s="8" t="s">
        <v>277</v>
      </c>
      <c r="H17" s="1" t="s">
        <v>1368</v>
      </c>
      <c r="J17" s="60" t="s">
        <v>1467</v>
      </c>
      <c r="K17" s="60" t="s">
        <v>1286</v>
      </c>
    </row>
    <row r="18">
      <c r="A18" s="141" t="s">
        <v>625</v>
      </c>
      <c r="B18" s="94">
        <v>2.0</v>
      </c>
      <c r="D18" s="8" t="s">
        <v>626</v>
      </c>
      <c r="H18" s="1" t="s">
        <v>1368</v>
      </c>
      <c r="J18" s="60" t="s">
        <v>1467</v>
      </c>
      <c r="K18" s="60" t="s">
        <v>1286</v>
      </c>
    </row>
    <row r="19">
      <c r="A19" s="141" t="s">
        <v>321</v>
      </c>
      <c r="B19" s="127">
        <v>1.0</v>
      </c>
      <c r="D19" s="8" t="s">
        <v>322</v>
      </c>
      <c r="H19" s="1" t="s">
        <v>1368</v>
      </c>
      <c r="J19" s="60" t="s">
        <v>1467</v>
      </c>
      <c r="K19" s="60" t="s">
        <v>1286</v>
      </c>
    </row>
    <row r="20">
      <c r="A20" s="141" t="s">
        <v>863</v>
      </c>
      <c r="B20" s="17">
        <v>1.0</v>
      </c>
      <c r="C20" s="143">
        <v>44707.0</v>
      </c>
      <c r="D20" s="132" t="s">
        <v>864</v>
      </c>
      <c r="G20" s="60" t="s">
        <v>1948</v>
      </c>
      <c r="H20" s="1" t="s">
        <v>1368</v>
      </c>
      <c r="I20" s="148"/>
      <c r="J20" s="60" t="s">
        <v>1467</v>
      </c>
      <c r="K20" s="60" t="s">
        <v>1286</v>
      </c>
    </row>
    <row r="21">
      <c r="A21" s="141" t="s">
        <v>543</v>
      </c>
      <c r="B21" s="17">
        <v>2.0</v>
      </c>
      <c r="D21" s="8" t="s">
        <v>544</v>
      </c>
      <c r="J21" s="60" t="s">
        <v>1467</v>
      </c>
      <c r="K21" s="60" t="s">
        <v>1286</v>
      </c>
    </row>
    <row r="22">
      <c r="A22" s="141" t="s">
        <v>1312</v>
      </c>
      <c r="B22" s="17">
        <v>1.0</v>
      </c>
      <c r="C22" s="143">
        <v>44707.0</v>
      </c>
      <c r="D22" s="132" t="s">
        <v>1313</v>
      </c>
      <c r="G22" s="60" t="s">
        <v>1091</v>
      </c>
      <c r="H22" s="1" t="s">
        <v>1368</v>
      </c>
      <c r="I22" s="147"/>
      <c r="J22" s="60" t="s">
        <v>1467</v>
      </c>
      <c r="K22" s="60" t="s">
        <v>1957</v>
      </c>
    </row>
    <row r="23">
      <c r="A23" s="141" t="s">
        <v>727</v>
      </c>
      <c r="B23" s="17">
        <v>2.0</v>
      </c>
      <c r="D23" s="17" t="s">
        <v>1953</v>
      </c>
      <c r="H23" s="1" t="s">
        <v>1368</v>
      </c>
      <c r="J23" s="60" t="s">
        <v>1467</v>
      </c>
      <c r="K23" s="60" t="s">
        <v>1286</v>
      </c>
    </row>
    <row r="24">
      <c r="A24" s="141" t="s">
        <v>622</v>
      </c>
      <c r="B24" s="17">
        <v>3.0</v>
      </c>
      <c r="D24" s="8" t="s">
        <v>623</v>
      </c>
      <c r="H24" s="1" t="s">
        <v>1368</v>
      </c>
      <c r="J24" s="60" t="s">
        <v>1467</v>
      </c>
      <c r="K24" s="60" t="s">
        <v>1286</v>
      </c>
    </row>
    <row r="25">
      <c r="A25" s="149" t="s">
        <v>1301</v>
      </c>
      <c r="B25" s="17">
        <v>2.0</v>
      </c>
      <c r="C25" s="150">
        <v>44708.0</v>
      </c>
      <c r="D25" s="17" t="s">
        <v>1959</v>
      </c>
      <c r="E25" s="151"/>
      <c r="F25" s="151"/>
      <c r="G25" s="151"/>
      <c r="H25" s="1" t="s">
        <v>1368</v>
      </c>
      <c r="I25" s="148"/>
      <c r="J25" s="60" t="s">
        <v>1467</v>
      </c>
      <c r="K25" s="60" t="s">
        <v>1286</v>
      </c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</row>
    <row r="26">
      <c r="A26" s="152" t="s">
        <v>563</v>
      </c>
      <c r="B26" s="153">
        <v>2.0</v>
      </c>
      <c r="C26" s="154">
        <v>44708.0</v>
      </c>
      <c r="D26" s="155" t="s">
        <v>564</v>
      </c>
      <c r="H26" s="1" t="s">
        <v>1368</v>
      </c>
      <c r="I26" s="147"/>
      <c r="J26" s="60" t="s">
        <v>1467</v>
      </c>
      <c r="K26" s="60" t="s">
        <v>1957</v>
      </c>
    </row>
    <row r="27">
      <c r="A27" s="152" t="s">
        <v>492</v>
      </c>
      <c r="B27" s="153" t="s">
        <v>1960</v>
      </c>
      <c r="C27" s="154">
        <v>44739.0</v>
      </c>
      <c r="D27" s="156" t="s">
        <v>493</v>
      </c>
      <c r="E27" s="17"/>
      <c r="H27" s="1" t="s">
        <v>1368</v>
      </c>
      <c r="I27" s="147"/>
      <c r="J27" s="60" t="s">
        <v>1467</v>
      </c>
      <c r="K27" s="60" t="s">
        <v>1957</v>
      </c>
    </row>
    <row r="28">
      <c r="A28" s="157"/>
      <c r="B28" s="153" t="s">
        <v>1960</v>
      </c>
      <c r="C28" s="154">
        <v>44746.0</v>
      </c>
      <c r="D28" s="156" t="s">
        <v>493</v>
      </c>
      <c r="E28" s="17"/>
      <c r="H28" s="1" t="s">
        <v>1368</v>
      </c>
      <c r="I28" s="60" t="s">
        <v>1961</v>
      </c>
      <c r="J28" s="60" t="s">
        <v>1139</v>
      </c>
      <c r="K28" s="60" t="s">
        <v>1962</v>
      </c>
    </row>
    <row r="29">
      <c r="A29" s="152" t="s">
        <v>408</v>
      </c>
      <c r="B29" s="153">
        <v>3.0</v>
      </c>
      <c r="C29" s="158"/>
      <c r="D29" s="156" t="s">
        <v>409</v>
      </c>
      <c r="H29" s="1" t="s">
        <v>1368</v>
      </c>
      <c r="J29" s="60" t="s">
        <v>1467</v>
      </c>
    </row>
    <row r="30">
      <c r="A30" s="141" t="s">
        <v>615</v>
      </c>
      <c r="B30" s="17">
        <v>1.0</v>
      </c>
      <c r="D30" s="8" t="s">
        <v>616</v>
      </c>
      <c r="H30" s="1" t="s">
        <v>1368</v>
      </c>
      <c r="J30" s="60" t="s">
        <v>1467</v>
      </c>
    </row>
    <row r="31">
      <c r="A31" s="141" t="s">
        <v>571</v>
      </c>
      <c r="B31" s="17">
        <v>2.0</v>
      </c>
      <c r="C31" s="143">
        <v>44708.0</v>
      </c>
      <c r="D31" s="8" t="s">
        <v>572</v>
      </c>
      <c r="E31" s="147"/>
      <c r="H31" s="1" t="s">
        <v>1368</v>
      </c>
      <c r="I31" s="147"/>
      <c r="J31" s="60" t="s">
        <v>1467</v>
      </c>
      <c r="K31" s="60" t="s">
        <v>1957</v>
      </c>
    </row>
    <row r="32">
      <c r="A32" s="141" t="s">
        <v>770</v>
      </c>
      <c r="B32" s="17">
        <v>1.0</v>
      </c>
      <c r="D32" s="24" t="s">
        <v>771</v>
      </c>
      <c r="J32" s="60" t="s">
        <v>1467</v>
      </c>
    </row>
    <row r="33">
      <c r="A33" s="141" t="s">
        <v>1280</v>
      </c>
      <c r="B33" s="17">
        <v>3.0</v>
      </c>
      <c r="C33" s="143">
        <v>44707.0</v>
      </c>
      <c r="D33" s="8" t="s">
        <v>1281</v>
      </c>
      <c r="E33" s="3"/>
      <c r="G33" s="60" t="s">
        <v>1091</v>
      </c>
      <c r="H33" s="1" t="s">
        <v>1368</v>
      </c>
      <c r="I33" s="147"/>
      <c r="J33" s="60" t="s">
        <v>1467</v>
      </c>
      <c r="K33" s="60" t="s">
        <v>1957</v>
      </c>
    </row>
    <row r="34">
      <c r="A34" s="141" t="s">
        <v>587</v>
      </c>
      <c r="B34" s="17">
        <v>2.0</v>
      </c>
      <c r="C34" s="143">
        <v>44708.0</v>
      </c>
      <c r="D34" s="8" t="s">
        <v>588</v>
      </c>
      <c r="E34" s="2"/>
      <c r="H34" s="1" t="s">
        <v>1368</v>
      </c>
      <c r="I34" s="147"/>
      <c r="J34" s="60" t="s">
        <v>1467</v>
      </c>
      <c r="K34" s="60" t="s">
        <v>1957</v>
      </c>
    </row>
    <row r="35">
      <c r="A35" s="141" t="s">
        <v>592</v>
      </c>
      <c r="B35" s="17">
        <v>2.0</v>
      </c>
      <c r="D35" s="8" t="s">
        <v>593</v>
      </c>
      <c r="E35" s="2"/>
      <c r="H35" s="1"/>
    </row>
    <row r="36">
      <c r="A36" s="141" t="s">
        <v>612</v>
      </c>
      <c r="B36" s="17">
        <v>1.0</v>
      </c>
      <c r="D36" s="159" t="s">
        <v>1963</v>
      </c>
      <c r="E36" s="2"/>
      <c r="H36" s="1"/>
    </row>
    <row r="37">
      <c r="A37" s="141" t="s">
        <v>671</v>
      </c>
      <c r="B37" s="17">
        <v>1.0</v>
      </c>
      <c r="D37" s="51" t="s">
        <v>672</v>
      </c>
      <c r="E37" s="3"/>
      <c r="H37" s="1"/>
    </row>
    <row r="38">
      <c r="A38" s="141" t="s">
        <v>1287</v>
      </c>
      <c r="B38" s="17">
        <v>1.0</v>
      </c>
      <c r="D38" s="17" t="s">
        <v>1952</v>
      </c>
      <c r="H38" s="1"/>
    </row>
    <row r="39">
      <c r="C39" s="160"/>
      <c r="D39" s="3"/>
      <c r="I39" s="147"/>
    </row>
    <row r="40">
      <c r="A40" s="17" t="s">
        <v>1964</v>
      </c>
      <c r="B40" s="132"/>
      <c r="C40" s="161"/>
      <c r="D40" s="3"/>
      <c r="E40" s="132"/>
      <c r="F40" s="132"/>
      <c r="G40" s="132"/>
      <c r="H40" s="132"/>
      <c r="I40" s="159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</row>
    <row r="41" ht="14.25" customHeight="1">
      <c r="A41" s="6" t="s">
        <v>1</v>
      </c>
      <c r="B41" s="87" t="s">
        <v>1965</v>
      </c>
      <c r="C41" s="6" t="s">
        <v>2</v>
      </c>
      <c r="D41" s="6" t="s">
        <v>3</v>
      </c>
      <c r="E41" s="6" t="s">
        <v>4</v>
      </c>
      <c r="F41" s="6" t="s">
        <v>5</v>
      </c>
      <c r="G41" s="6" t="s">
        <v>6</v>
      </c>
      <c r="H41" s="87" t="s">
        <v>1966</v>
      </c>
      <c r="I41" s="6" t="s">
        <v>7</v>
      </c>
      <c r="J41" s="87" t="s">
        <v>516</v>
      </c>
      <c r="K41" s="6" t="s">
        <v>10</v>
      </c>
      <c r="L41" s="6" t="s">
        <v>11</v>
      </c>
      <c r="M41" s="6" t="s">
        <v>12</v>
      </c>
      <c r="N41" s="87" t="s">
        <v>1293</v>
      </c>
      <c r="O41" s="87" t="s">
        <v>1294</v>
      </c>
      <c r="P41" s="6" t="s">
        <v>15</v>
      </c>
      <c r="Q41" s="87" t="s">
        <v>1295</v>
      </c>
      <c r="R41" s="87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62" t="s">
        <v>1662</v>
      </c>
      <c r="B42" s="163">
        <v>5.0</v>
      </c>
      <c r="C42" s="164">
        <v>44790.0</v>
      </c>
      <c r="D42" s="163" t="s">
        <v>1663</v>
      </c>
      <c r="E42" s="17" t="s">
        <v>1967</v>
      </c>
      <c r="F42" s="1" t="s">
        <v>1664</v>
      </c>
      <c r="G42" s="1" t="s">
        <v>1368</v>
      </c>
      <c r="H42" s="17" t="s">
        <v>34</v>
      </c>
      <c r="I42" s="17" t="s">
        <v>1749</v>
      </c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</row>
    <row r="43">
      <c r="A43" s="162" t="s">
        <v>1500</v>
      </c>
      <c r="B43" s="165">
        <v>0.0</v>
      </c>
      <c r="C43" s="164">
        <v>44790.0</v>
      </c>
      <c r="D43" s="165" t="s">
        <v>1968</v>
      </c>
      <c r="E43" s="166" t="s">
        <v>1967</v>
      </c>
      <c r="F43" s="167" t="s">
        <v>1502</v>
      </c>
      <c r="G43" s="102" t="s">
        <v>1368</v>
      </c>
      <c r="H43" s="166" t="s">
        <v>34</v>
      </c>
      <c r="I43" s="166" t="s">
        <v>1969</v>
      </c>
      <c r="J43" s="166" t="s">
        <v>1970</v>
      </c>
      <c r="K43" s="132"/>
      <c r="L43" s="132"/>
      <c r="M43" s="132"/>
      <c r="N43" s="132"/>
      <c r="O43" s="132"/>
      <c r="P43" s="132"/>
      <c r="Q43" s="159" t="s">
        <v>1971</v>
      </c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</row>
    <row r="44">
      <c r="A44" s="168" t="s">
        <v>1637</v>
      </c>
      <c r="B44" s="127">
        <v>2.0</v>
      </c>
      <c r="C44" s="164">
        <v>44790.0</v>
      </c>
      <c r="D44" s="127" t="s">
        <v>1745</v>
      </c>
      <c r="E44" s="1" t="s">
        <v>1746</v>
      </c>
      <c r="F44" s="132"/>
      <c r="G44" s="1" t="s">
        <v>1368</v>
      </c>
      <c r="H44" s="17" t="s">
        <v>34</v>
      </c>
      <c r="I44" s="17" t="s">
        <v>1749</v>
      </c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</row>
    <row r="45">
      <c r="A45" s="168" t="s">
        <v>1486</v>
      </c>
      <c r="B45" s="127">
        <v>0.0</v>
      </c>
      <c r="C45" s="164">
        <v>44790.0</v>
      </c>
      <c r="D45" s="98" t="s">
        <v>1972</v>
      </c>
      <c r="E45" s="1" t="s">
        <v>1483</v>
      </c>
      <c r="F45" s="132"/>
      <c r="G45" s="1" t="s">
        <v>1368</v>
      </c>
      <c r="H45" s="17" t="s">
        <v>34</v>
      </c>
      <c r="I45" s="132"/>
      <c r="J45" s="159" t="s">
        <v>1973</v>
      </c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</row>
    <row r="46">
      <c r="A46" s="162" t="s">
        <v>1694</v>
      </c>
      <c r="B46" s="127">
        <v>2.0</v>
      </c>
      <c r="C46" s="164">
        <v>44791.0</v>
      </c>
      <c r="D46" s="169" t="s">
        <v>1695</v>
      </c>
      <c r="E46" s="17" t="s">
        <v>1967</v>
      </c>
      <c r="F46" s="1" t="s">
        <v>1693</v>
      </c>
      <c r="G46" s="1" t="s">
        <v>1368</v>
      </c>
      <c r="H46" s="17" t="s">
        <v>34</v>
      </c>
      <c r="I46" s="17" t="s">
        <v>1749</v>
      </c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</row>
    <row r="47">
      <c r="A47" s="162" t="s">
        <v>1650</v>
      </c>
      <c r="B47" s="165">
        <v>1.0</v>
      </c>
      <c r="C47" s="164">
        <v>44791.0</v>
      </c>
      <c r="D47" s="169" t="s">
        <v>1643</v>
      </c>
      <c r="E47" s="17" t="s">
        <v>1967</v>
      </c>
      <c r="F47" s="132"/>
      <c r="G47" s="1" t="s">
        <v>1368</v>
      </c>
      <c r="H47" s="17" t="s">
        <v>34</v>
      </c>
      <c r="I47" s="17" t="s">
        <v>1974</v>
      </c>
      <c r="J47" s="159" t="s">
        <v>1975</v>
      </c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</row>
    <row r="48">
      <c r="A48" s="168" t="s">
        <v>1563</v>
      </c>
      <c r="B48" s="165">
        <v>1.0</v>
      </c>
      <c r="C48" s="164">
        <v>44791.0</v>
      </c>
      <c r="D48" s="169" t="s">
        <v>1976</v>
      </c>
      <c r="E48" s="17" t="s">
        <v>1967</v>
      </c>
      <c r="F48" s="1" t="s">
        <v>1565</v>
      </c>
      <c r="G48" s="1" t="s">
        <v>1368</v>
      </c>
      <c r="H48" s="17" t="s">
        <v>34</v>
      </c>
      <c r="I48" s="17" t="s">
        <v>1977</v>
      </c>
      <c r="J48" s="159" t="s">
        <v>1975</v>
      </c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</row>
    <row r="49">
      <c r="A49" s="168" t="s">
        <v>1490</v>
      </c>
      <c r="B49" s="165">
        <v>0.0</v>
      </c>
      <c r="C49" s="164"/>
      <c r="D49" s="110" t="s">
        <v>1491</v>
      </c>
      <c r="E49" s="1" t="s">
        <v>1483</v>
      </c>
      <c r="F49" s="132"/>
      <c r="G49" s="1" t="s">
        <v>1368</v>
      </c>
      <c r="H49" s="17" t="s">
        <v>34</v>
      </c>
      <c r="I49" s="132"/>
      <c r="J49" s="159" t="s">
        <v>1973</v>
      </c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</row>
    <row r="50">
      <c r="A50" s="170" t="s">
        <v>757</v>
      </c>
      <c r="B50" s="171" t="s">
        <v>1905</v>
      </c>
      <c r="C50" s="172">
        <v>44663.0</v>
      </c>
      <c r="D50" s="171" t="s">
        <v>1978</v>
      </c>
      <c r="E50" s="171" t="s">
        <v>706</v>
      </c>
      <c r="F50" s="173" t="s">
        <v>759</v>
      </c>
      <c r="G50" s="171" t="s">
        <v>1368</v>
      </c>
      <c r="H50" s="174" t="s">
        <v>1712</v>
      </c>
      <c r="I50" s="171" t="s">
        <v>1979</v>
      </c>
      <c r="J50" s="171" t="s">
        <v>1300</v>
      </c>
      <c r="K50" s="171" t="s">
        <v>763</v>
      </c>
      <c r="L50" s="175"/>
      <c r="M50" s="171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</row>
    <row r="51">
      <c r="A51" s="170" t="s">
        <v>574</v>
      </c>
      <c r="B51" s="171" t="s">
        <v>1905</v>
      </c>
      <c r="C51" s="172">
        <v>44708.0</v>
      </c>
      <c r="D51" s="173" t="s">
        <v>575</v>
      </c>
      <c r="E51" s="173" t="s">
        <v>40</v>
      </c>
      <c r="F51" s="173" t="s">
        <v>576</v>
      </c>
      <c r="G51" s="171" t="s">
        <v>1368</v>
      </c>
      <c r="H51" s="174" t="s">
        <v>1712</v>
      </c>
      <c r="I51" s="171" t="s">
        <v>1961</v>
      </c>
      <c r="J51" s="171" t="s">
        <v>1300</v>
      </c>
      <c r="K51" s="171" t="s">
        <v>1980</v>
      </c>
      <c r="L51" s="175"/>
      <c r="M51" s="171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  <c r="AA51" s="176"/>
      <c r="AB51" s="176"/>
      <c r="AC51" s="176"/>
      <c r="AD51" s="176"/>
    </row>
    <row r="52">
      <c r="A52" s="177" t="s">
        <v>1584</v>
      </c>
      <c r="B52" s="178">
        <v>0.0</v>
      </c>
      <c r="C52" s="179">
        <v>44868.0</v>
      </c>
      <c r="D52" s="180" t="s">
        <v>1981</v>
      </c>
      <c r="E52" s="181"/>
      <c r="F52" s="181"/>
      <c r="G52" s="107" t="s">
        <v>1368</v>
      </c>
      <c r="H52" s="178" t="s">
        <v>1310</v>
      </c>
      <c r="I52" s="1" t="s">
        <v>1847</v>
      </c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</row>
    <row r="53">
      <c r="A53" s="182" t="s">
        <v>716</v>
      </c>
      <c r="B53" s="183">
        <v>1.0</v>
      </c>
      <c r="C53" s="184">
        <v>44868.0</v>
      </c>
      <c r="D53" s="183" t="s">
        <v>1982</v>
      </c>
      <c r="E53" s="185"/>
      <c r="F53" s="185"/>
      <c r="G53" s="186" t="s">
        <v>1368</v>
      </c>
      <c r="H53" s="183" t="s">
        <v>1310</v>
      </c>
      <c r="I53" s="174" t="s">
        <v>1847</v>
      </c>
      <c r="J53" s="183" t="s">
        <v>1685</v>
      </c>
      <c r="K53" s="183" t="s">
        <v>1932</v>
      </c>
      <c r="L53" s="183" t="s">
        <v>1983</v>
      </c>
      <c r="M53" s="183" t="s">
        <v>1480</v>
      </c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</row>
    <row r="54">
      <c r="A54" s="182" t="s">
        <v>529</v>
      </c>
      <c r="B54" s="183">
        <v>0.0</v>
      </c>
      <c r="C54" s="184">
        <v>44868.0</v>
      </c>
      <c r="D54" s="183" t="s">
        <v>1984</v>
      </c>
      <c r="E54" s="185"/>
      <c r="F54" s="185"/>
      <c r="G54" s="186" t="s">
        <v>1368</v>
      </c>
      <c r="H54" s="183" t="s">
        <v>1310</v>
      </c>
      <c r="I54" s="174" t="s">
        <v>1985</v>
      </c>
      <c r="J54" s="183" t="s">
        <v>1300</v>
      </c>
      <c r="K54" s="183" t="s">
        <v>1937</v>
      </c>
      <c r="L54" s="185"/>
      <c r="M54" s="183" t="s">
        <v>1480</v>
      </c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</row>
    <row r="55">
      <c r="A55" s="187" t="s">
        <v>863</v>
      </c>
      <c r="B55" s="188" t="s">
        <v>1905</v>
      </c>
      <c r="C55" s="189">
        <v>44868.0</v>
      </c>
      <c r="D55" s="165" t="s">
        <v>1986</v>
      </c>
      <c r="E55" s="181"/>
      <c r="F55" s="181"/>
      <c r="G55" s="107" t="s">
        <v>1368</v>
      </c>
      <c r="H55" s="178" t="s">
        <v>1310</v>
      </c>
      <c r="I55" s="1" t="s">
        <v>1985</v>
      </c>
      <c r="J55" s="178" t="s">
        <v>1987</v>
      </c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</row>
    <row r="56">
      <c r="A56" s="187" t="s">
        <v>1032</v>
      </c>
      <c r="B56" s="188" t="s">
        <v>1905</v>
      </c>
      <c r="C56" s="189">
        <v>44868.0</v>
      </c>
      <c r="D56" s="165" t="s">
        <v>1988</v>
      </c>
      <c r="E56" s="181"/>
      <c r="F56" s="181"/>
      <c r="G56" s="107" t="s">
        <v>1368</v>
      </c>
      <c r="H56" s="178" t="s">
        <v>1310</v>
      </c>
      <c r="I56" s="1" t="s">
        <v>1847</v>
      </c>
      <c r="J56" s="178" t="s">
        <v>1987</v>
      </c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</row>
    <row r="57">
      <c r="A57" s="177" t="s">
        <v>279</v>
      </c>
      <c r="B57" s="178" t="s">
        <v>1905</v>
      </c>
      <c r="C57" s="179">
        <v>44868.0</v>
      </c>
      <c r="D57" s="180" t="s">
        <v>1989</v>
      </c>
      <c r="E57" s="181"/>
      <c r="F57" s="181"/>
      <c r="G57" s="107" t="s">
        <v>1368</v>
      </c>
      <c r="H57" s="178" t="s">
        <v>1310</v>
      </c>
      <c r="I57" s="1" t="s">
        <v>1847</v>
      </c>
      <c r="J57" s="181"/>
      <c r="K57" s="181"/>
      <c r="L57" s="181"/>
      <c r="M57" s="178" t="s">
        <v>1480</v>
      </c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</row>
    <row r="58">
      <c r="A58" s="187" t="s">
        <v>197</v>
      </c>
      <c r="B58" s="188">
        <v>0.0</v>
      </c>
      <c r="C58" s="189">
        <v>44868.0</v>
      </c>
      <c r="D58" s="165" t="s">
        <v>1990</v>
      </c>
      <c r="E58" s="181"/>
      <c r="F58" s="181"/>
      <c r="G58" s="107" t="s">
        <v>1368</v>
      </c>
      <c r="H58" s="178" t="s">
        <v>1310</v>
      </c>
      <c r="I58" s="1" t="s">
        <v>1847</v>
      </c>
      <c r="J58" s="178" t="s">
        <v>1987</v>
      </c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</row>
    <row r="59">
      <c r="A59" s="190" t="s">
        <v>809</v>
      </c>
      <c r="B59" s="17" t="s">
        <v>1905</v>
      </c>
      <c r="C59" s="132"/>
      <c r="D59" s="94" t="s">
        <v>1991</v>
      </c>
      <c r="E59" s="132"/>
      <c r="F59" s="132"/>
      <c r="G59" s="107" t="s">
        <v>1368</v>
      </c>
      <c r="H59" s="178" t="s">
        <v>1310</v>
      </c>
      <c r="I59" s="1" t="s">
        <v>1847</v>
      </c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1.14"/>
    <col customWidth="1" min="3" max="3" width="30.71"/>
    <col customWidth="1" min="4" max="4" width="30.57"/>
    <col customWidth="1" min="5" max="5" width="12.57"/>
    <col customWidth="1" min="6" max="6" width="28.0"/>
    <col customWidth="1" min="7" max="7" width="23.86"/>
    <col customWidth="1" min="8" max="8" width="46.57"/>
    <col customWidth="1" min="9" max="9" width="30.0"/>
    <col customWidth="1" min="10" max="10" width="21.14"/>
    <col customWidth="1" min="11" max="12" width="46.86"/>
    <col customWidth="1" min="13" max="13" width="11.86"/>
    <col customWidth="1" min="14" max="14" width="62.29"/>
    <col customWidth="1" min="15" max="15" width="36.43"/>
    <col customWidth="1" min="16" max="16" width="103.43"/>
    <col customWidth="1" min="17" max="17" width="24.71"/>
  </cols>
  <sheetData>
    <row r="1">
      <c r="A1" s="191" t="s">
        <v>1992</v>
      </c>
      <c r="B1" s="192" t="s">
        <v>1993</v>
      </c>
      <c r="C1" s="192" t="s">
        <v>1994</v>
      </c>
      <c r="D1" s="191" t="s">
        <v>1995</v>
      </c>
      <c r="E1" s="191" t="s">
        <v>1996</v>
      </c>
      <c r="F1" s="192" t="s">
        <v>1997</v>
      </c>
      <c r="G1" s="192" t="s">
        <v>1998</v>
      </c>
      <c r="H1" s="192" t="s">
        <v>1999</v>
      </c>
      <c r="I1" s="192" t="s">
        <v>2000</v>
      </c>
      <c r="J1" s="192" t="s">
        <v>2001</v>
      </c>
      <c r="K1" s="192" t="s">
        <v>2002</v>
      </c>
      <c r="L1" s="192" t="s">
        <v>2003</v>
      </c>
      <c r="M1" s="192" t="s">
        <v>2004</v>
      </c>
      <c r="N1" s="192" t="s">
        <v>2005</v>
      </c>
      <c r="O1" s="192" t="s">
        <v>2006</v>
      </c>
      <c r="P1" s="192" t="s">
        <v>2007</v>
      </c>
      <c r="Q1" s="192" t="s">
        <v>2008</v>
      </c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</row>
    <row r="2">
      <c r="A2" s="194" t="s">
        <v>830</v>
      </c>
      <c r="B2" s="195" t="s">
        <v>831</v>
      </c>
      <c r="C2" s="196" t="s">
        <v>2009</v>
      </c>
      <c r="D2" s="196" t="s">
        <v>2010</v>
      </c>
      <c r="E2" s="196" t="s">
        <v>2011</v>
      </c>
      <c r="F2" s="197" t="s">
        <v>2012</v>
      </c>
      <c r="G2" s="197" t="s">
        <v>2012</v>
      </c>
      <c r="H2" s="197" t="s">
        <v>2013</v>
      </c>
      <c r="I2" s="197"/>
      <c r="J2" s="197"/>
      <c r="K2" s="197" t="s">
        <v>2014</v>
      </c>
      <c r="L2" s="197"/>
      <c r="M2" s="197"/>
      <c r="N2" s="197" t="s">
        <v>2015</v>
      </c>
      <c r="O2" s="197">
        <v>4.0</v>
      </c>
      <c r="P2" s="197" t="s">
        <v>2016</v>
      </c>
      <c r="Q2" s="198" t="s">
        <v>2017</v>
      </c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</row>
    <row r="3">
      <c r="A3" s="194" t="s">
        <v>1317</v>
      </c>
      <c r="B3" s="195" t="s">
        <v>2018</v>
      </c>
      <c r="C3" s="196" t="s">
        <v>2019</v>
      </c>
      <c r="D3" s="196" t="s">
        <v>2020</v>
      </c>
      <c r="E3" s="196" t="s">
        <v>2011</v>
      </c>
      <c r="F3" s="197">
        <v>37.0</v>
      </c>
      <c r="G3" s="197">
        <v>28.0</v>
      </c>
      <c r="H3" s="197" t="s">
        <v>2021</v>
      </c>
      <c r="I3" s="197" t="s">
        <v>2022</v>
      </c>
      <c r="J3" s="197" t="s">
        <v>2023</v>
      </c>
      <c r="K3" s="197" t="s">
        <v>2024</v>
      </c>
      <c r="L3" s="197" t="s">
        <v>2025</v>
      </c>
      <c r="M3" s="197" t="s">
        <v>2023</v>
      </c>
      <c r="N3" s="197" t="s">
        <v>2026</v>
      </c>
      <c r="O3" s="197">
        <v>2.0</v>
      </c>
      <c r="P3" s="197" t="s">
        <v>2027</v>
      </c>
      <c r="Q3" s="198" t="s">
        <v>1480</v>
      </c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</row>
    <row r="4">
      <c r="A4" s="199" t="s">
        <v>1276</v>
      </c>
      <c r="B4" s="197" t="s">
        <v>2028</v>
      </c>
      <c r="C4" s="197" t="s">
        <v>2019</v>
      </c>
      <c r="D4" s="197" t="s">
        <v>2010</v>
      </c>
      <c r="E4" s="197" t="s">
        <v>1492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</row>
    <row r="5">
      <c r="A5" s="199" t="s">
        <v>1317</v>
      </c>
      <c r="B5" s="197" t="s">
        <v>2029</v>
      </c>
      <c r="C5" s="197" t="s">
        <v>2019</v>
      </c>
      <c r="D5" s="197" t="s">
        <v>2020</v>
      </c>
      <c r="E5" s="197" t="s">
        <v>1492</v>
      </c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</row>
    <row r="6">
      <c r="A6" s="199" t="s">
        <v>1276</v>
      </c>
      <c r="B6" s="197" t="s">
        <v>2028</v>
      </c>
      <c r="C6" s="197" t="s">
        <v>2019</v>
      </c>
      <c r="D6" s="197" t="s">
        <v>2030</v>
      </c>
      <c r="E6" s="197" t="s">
        <v>1492</v>
      </c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</row>
    <row r="7">
      <c r="A7" s="199" t="s">
        <v>2031</v>
      </c>
      <c r="B7" s="197" t="s">
        <v>2032</v>
      </c>
      <c r="C7" s="197" t="s">
        <v>2033</v>
      </c>
      <c r="D7" s="197" t="s">
        <v>2034</v>
      </c>
      <c r="E7" s="197" t="s">
        <v>1492</v>
      </c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93"/>
      <c r="AD7" s="193"/>
      <c r="AE7" s="193"/>
      <c r="AF7" s="193"/>
    </row>
    <row r="8">
      <c r="A8" s="194" t="s">
        <v>1351</v>
      </c>
      <c r="B8" s="195" t="s">
        <v>2029</v>
      </c>
      <c r="C8" s="197" t="s">
        <v>2035</v>
      </c>
      <c r="D8" s="197" t="s">
        <v>2036</v>
      </c>
      <c r="E8" s="197" t="s">
        <v>2011</v>
      </c>
      <c r="F8" s="197" t="s">
        <v>2037</v>
      </c>
      <c r="G8" s="197">
        <v>25.0</v>
      </c>
      <c r="H8" s="197" t="s">
        <v>2038</v>
      </c>
      <c r="I8" s="197" t="s">
        <v>2025</v>
      </c>
      <c r="J8" s="197" t="s">
        <v>2039</v>
      </c>
      <c r="K8" s="197" t="s">
        <v>2040</v>
      </c>
      <c r="L8" s="197" t="s">
        <v>2023</v>
      </c>
      <c r="M8" s="197" t="s">
        <v>2023</v>
      </c>
      <c r="N8" s="60" t="s">
        <v>2041</v>
      </c>
      <c r="O8" s="197" t="s">
        <v>2042</v>
      </c>
      <c r="P8" s="197" t="s">
        <v>2043</v>
      </c>
      <c r="Q8" s="198" t="s">
        <v>2044</v>
      </c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</row>
    <row r="9">
      <c r="A9" s="199" t="s">
        <v>2045</v>
      </c>
      <c r="B9" s="197" t="s">
        <v>2046</v>
      </c>
      <c r="C9" s="197" t="s">
        <v>2033</v>
      </c>
      <c r="D9" s="197" t="s">
        <v>2047</v>
      </c>
      <c r="E9" s="197" t="s">
        <v>1492</v>
      </c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1" t="s">
        <v>2048</v>
      </c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</row>
    <row r="10">
      <c r="A10" s="199" t="s">
        <v>1519</v>
      </c>
      <c r="B10" s="197" t="s">
        <v>2049</v>
      </c>
      <c r="C10" s="197" t="s">
        <v>2033</v>
      </c>
      <c r="D10" s="197" t="s">
        <v>2050</v>
      </c>
      <c r="E10" s="197" t="s">
        <v>1492</v>
      </c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197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</row>
    <row r="11">
      <c r="A11" s="199" t="s">
        <v>1387</v>
      </c>
      <c r="B11" s="197" t="s">
        <v>2051</v>
      </c>
      <c r="C11" s="197" t="s">
        <v>2033</v>
      </c>
      <c r="D11" s="197" t="s">
        <v>2050</v>
      </c>
      <c r="E11" s="197" t="s">
        <v>1492</v>
      </c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197" t="s">
        <v>2052</v>
      </c>
      <c r="Q11" s="198" t="s">
        <v>1480</v>
      </c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</row>
    <row r="12">
      <c r="A12" s="199" t="s">
        <v>1519</v>
      </c>
      <c r="B12" s="197" t="s">
        <v>2049</v>
      </c>
      <c r="C12" s="197" t="s">
        <v>2033</v>
      </c>
      <c r="D12" s="202" t="s">
        <v>2053</v>
      </c>
      <c r="E12" s="197" t="s">
        <v>2025</v>
      </c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</row>
    <row r="13">
      <c r="A13" s="194" t="s">
        <v>1539</v>
      </c>
      <c r="B13" s="195" t="s">
        <v>2051</v>
      </c>
      <c r="C13" s="197" t="s">
        <v>2033</v>
      </c>
      <c r="D13" s="197" t="s">
        <v>2054</v>
      </c>
      <c r="E13" s="197" t="s">
        <v>2011</v>
      </c>
      <c r="F13" s="197" t="s">
        <v>2055</v>
      </c>
      <c r="G13" s="197">
        <v>8.0</v>
      </c>
      <c r="H13" s="197" t="s">
        <v>2056</v>
      </c>
      <c r="I13" s="197" t="s">
        <v>2057</v>
      </c>
      <c r="J13" s="200"/>
      <c r="K13" s="197" t="s">
        <v>2058</v>
      </c>
      <c r="L13" s="197" t="s">
        <v>2023</v>
      </c>
      <c r="M13" s="200"/>
      <c r="N13" s="200"/>
      <c r="O13" s="197">
        <v>5.0</v>
      </c>
      <c r="P13" s="200"/>
      <c r="Q13" s="198" t="s">
        <v>1381</v>
      </c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</row>
    <row r="14">
      <c r="A14" s="199" t="s">
        <v>1804</v>
      </c>
      <c r="B14" s="197" t="s">
        <v>2059</v>
      </c>
      <c r="C14" s="197" t="s">
        <v>2019</v>
      </c>
      <c r="D14" s="197" t="s">
        <v>2047</v>
      </c>
      <c r="E14" s="197" t="s">
        <v>2060</v>
      </c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198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</row>
    <row r="15">
      <c r="A15" s="196" t="s">
        <v>1818</v>
      </c>
      <c r="B15" s="197" t="s">
        <v>2061</v>
      </c>
      <c r="C15" s="197" t="s">
        <v>2033</v>
      </c>
      <c r="D15" s="197" t="s">
        <v>2047</v>
      </c>
      <c r="E15" s="197" t="s">
        <v>2060</v>
      </c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</row>
    <row r="16">
      <c r="A16" s="72" t="s">
        <v>1770</v>
      </c>
      <c r="B16" s="197" t="s">
        <v>2028</v>
      </c>
      <c r="C16" s="197" t="s">
        <v>2062</v>
      </c>
      <c r="D16" s="197" t="s">
        <v>2063</v>
      </c>
      <c r="E16" s="197" t="s">
        <v>2025</v>
      </c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</row>
    <row r="17">
      <c r="A17" s="196" t="s">
        <v>1667</v>
      </c>
      <c r="B17" s="197" t="s">
        <v>2064</v>
      </c>
      <c r="C17" s="197" t="s">
        <v>2062</v>
      </c>
      <c r="D17" s="197" t="s">
        <v>2065</v>
      </c>
      <c r="E17" s="197" t="s">
        <v>2023</v>
      </c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</row>
    <row r="18">
      <c r="A18" s="196" t="s">
        <v>1473</v>
      </c>
      <c r="B18" s="203" t="s">
        <v>2066</v>
      </c>
      <c r="C18" s="197" t="s">
        <v>2062</v>
      </c>
      <c r="D18" s="197" t="s">
        <v>2067</v>
      </c>
      <c r="E18" s="197" t="s">
        <v>2023</v>
      </c>
      <c r="F18" s="197" t="s">
        <v>2068</v>
      </c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</row>
    <row r="19">
      <c r="A19" s="199" t="s">
        <v>1519</v>
      </c>
      <c r="B19" s="197" t="s">
        <v>2049</v>
      </c>
      <c r="C19" s="197" t="s">
        <v>2069</v>
      </c>
      <c r="D19" s="197" t="s">
        <v>2065</v>
      </c>
      <c r="E19" s="197" t="s">
        <v>2023</v>
      </c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</row>
    <row r="20">
      <c r="A20" s="193"/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</row>
    <row r="21">
      <c r="A21" s="193"/>
      <c r="B21" s="193"/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</row>
    <row r="22">
      <c r="A22" s="193"/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</row>
    <row r="23">
      <c r="A23" s="193"/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</row>
    <row r="24">
      <c r="A24" s="193"/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</row>
    <row r="25">
      <c r="A25" s="193"/>
      <c r="B25" s="193"/>
      <c r="C25" s="193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</row>
    <row r="26">
      <c r="A26" s="204"/>
      <c r="B26" s="205"/>
      <c r="C26" s="205"/>
      <c r="D26" s="205"/>
      <c r="E26" s="204"/>
      <c r="F26" s="204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</row>
    <row r="27">
      <c r="A27" s="204"/>
      <c r="B27" s="204"/>
      <c r="C27" s="204"/>
      <c r="D27" s="204"/>
      <c r="E27" s="204"/>
      <c r="F27" s="204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</row>
    <row r="28">
      <c r="A28" s="204"/>
      <c r="B28" s="205"/>
      <c r="C28" s="205"/>
      <c r="D28" s="205"/>
      <c r="E28" s="204"/>
      <c r="F28" s="206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</row>
    <row r="29">
      <c r="A29" s="204"/>
      <c r="B29" s="204"/>
      <c r="C29" s="204"/>
      <c r="D29" s="204"/>
      <c r="E29" s="204"/>
      <c r="F29" s="206"/>
      <c r="G29" s="205"/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</row>
    <row r="30">
      <c r="A30" s="204"/>
      <c r="B30" s="204"/>
      <c r="C30" s="204"/>
      <c r="D30" s="204"/>
      <c r="E30" s="204"/>
      <c r="F30" s="206"/>
      <c r="G30" s="205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</row>
    <row r="31">
      <c r="A31" s="204"/>
      <c r="B31" s="204"/>
      <c r="C31" s="204"/>
      <c r="D31" s="204"/>
      <c r="E31" s="204"/>
      <c r="F31" s="204"/>
      <c r="G31" s="206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</row>
    <row r="32">
      <c r="A32" s="204"/>
      <c r="B32" s="204"/>
      <c r="C32" s="204"/>
      <c r="D32" s="204"/>
      <c r="E32" s="204"/>
      <c r="F32" s="206"/>
      <c r="G32" s="205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</row>
    <row r="33">
      <c r="A33" s="207"/>
      <c r="B33" s="204"/>
      <c r="C33" s="204"/>
      <c r="D33" s="204"/>
      <c r="E33" s="204"/>
      <c r="F33" s="206"/>
      <c r="G33" s="205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</row>
    <row r="34">
      <c r="A34" s="207"/>
      <c r="B34" s="204"/>
      <c r="C34" s="204"/>
      <c r="D34" s="204"/>
      <c r="E34" s="204"/>
      <c r="F34" s="206"/>
      <c r="G34" s="205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</row>
    <row r="35">
      <c r="A35" s="207"/>
      <c r="B35" s="204"/>
      <c r="C35" s="204"/>
      <c r="D35" s="204"/>
      <c r="E35" s="204"/>
      <c r="F35" s="206"/>
      <c r="G35" s="205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</row>
    <row r="36">
      <c r="A36" s="208"/>
      <c r="B36" s="206"/>
      <c r="C36" s="206"/>
      <c r="D36" s="206"/>
      <c r="E36" s="204"/>
      <c r="F36" s="206"/>
      <c r="G36" s="206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</row>
    <row r="37">
      <c r="A37" s="208"/>
      <c r="B37" s="206"/>
      <c r="C37" s="206"/>
      <c r="D37" s="206"/>
      <c r="E37" s="204"/>
      <c r="F37" s="206"/>
      <c r="G37" s="205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</row>
    <row r="38">
      <c r="A38" s="208"/>
      <c r="B38" s="205"/>
      <c r="C38" s="205"/>
      <c r="D38" s="206"/>
      <c r="E38" s="204"/>
      <c r="F38" s="206"/>
      <c r="G38" s="205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</row>
    <row r="39">
      <c r="A39" s="208"/>
      <c r="B39" s="206"/>
      <c r="C39" s="206"/>
      <c r="D39" s="206"/>
      <c r="E39" s="204"/>
      <c r="F39" s="204"/>
      <c r="G39" s="205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</row>
    <row r="40">
      <c r="A40" s="208"/>
      <c r="B40" s="206"/>
      <c r="C40" s="206"/>
      <c r="D40" s="206"/>
      <c r="E40" s="204"/>
      <c r="F40" s="204"/>
      <c r="G40" s="205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</row>
    <row r="41">
      <c r="A41" s="206"/>
      <c r="B41" s="205"/>
      <c r="C41" s="205"/>
      <c r="D41" s="206"/>
      <c r="E41" s="204"/>
      <c r="F41" s="206"/>
      <c r="G41" s="209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</row>
    <row r="42">
      <c r="A42" s="206"/>
      <c r="B42" s="209"/>
      <c r="C42" s="209"/>
      <c r="D42" s="206"/>
      <c r="E42" s="204"/>
      <c r="F42" s="206"/>
      <c r="G42" s="209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</row>
    <row r="43">
      <c r="A43" s="193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</row>
    <row r="44">
      <c r="A44" s="193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</row>
    <row r="45">
      <c r="A45" s="193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</row>
    <row r="46">
      <c r="A46" s="193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</row>
    <row r="47">
      <c r="A47" s="193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</row>
    <row r="48">
      <c r="A48" s="193"/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</row>
    <row r="49">
      <c r="A49" s="193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</row>
    <row r="50">
      <c r="A50" s="193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</row>
    <row r="51">
      <c r="A51" s="193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</row>
    <row r="52">
      <c r="A52" s="193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</row>
    <row r="53">
      <c r="A53" s="193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</row>
    <row r="54">
      <c r="A54" s="193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</row>
    <row r="55">
      <c r="A55" s="193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</row>
    <row r="56">
      <c r="A56" s="193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</row>
    <row r="57">
      <c r="A57" s="193"/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</row>
    <row r="58">
      <c r="A58" s="193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</row>
    <row r="59">
      <c r="A59" s="193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</row>
    <row r="60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</row>
    <row r="61">
      <c r="A61" s="193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</row>
    <row r="62">
      <c r="A62" s="193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</row>
    <row r="63">
      <c r="A63" s="193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</row>
    <row r="64">
      <c r="A64" s="193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</row>
    <row r="65">
      <c r="A65" s="193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</row>
    <row r="66">
      <c r="A66" s="193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</row>
    <row r="67">
      <c r="A67" s="193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</row>
    <row r="68">
      <c r="A68" s="193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</row>
    <row r="69">
      <c r="A69" s="193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</row>
    <row r="70">
      <c r="A70" s="193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</row>
    <row r="71">
      <c r="A71" s="193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</row>
    <row r="72">
      <c r="A72" s="1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</row>
    <row r="73">
      <c r="A73" s="193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</row>
    <row r="74">
      <c r="A74" s="193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</row>
    <row r="75">
      <c r="A75" s="1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</row>
    <row r="76">
      <c r="A76" s="193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</row>
    <row r="77">
      <c r="A77" s="193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</row>
    <row r="78">
      <c r="A78" s="193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</row>
    <row r="79">
      <c r="A79" s="193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</row>
    <row r="80">
      <c r="A80" s="193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</row>
    <row r="81">
      <c r="A81" s="193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</row>
    <row r="82">
      <c r="A82" s="193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</row>
    <row r="83">
      <c r="A83" s="193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</row>
    <row r="84">
      <c r="A84" s="193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</row>
    <row r="85">
      <c r="A85" s="193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</row>
    <row r="86">
      <c r="A86" s="193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</row>
    <row r="87">
      <c r="A87" s="193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</row>
    <row r="88">
      <c r="A88" s="193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</row>
    <row r="89">
      <c r="A89" s="193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</row>
    <row r="90">
      <c r="A90" s="193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</row>
    <row r="91">
      <c r="A91" s="193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</row>
    <row r="92">
      <c r="A92" s="193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</row>
    <row r="93">
      <c r="A93" s="193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</row>
    <row r="94">
      <c r="A94" s="193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</row>
    <row r="95">
      <c r="A95" s="193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</row>
    <row r="96">
      <c r="A96" s="193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</row>
    <row r="97">
      <c r="A97" s="193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</row>
    <row r="98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</row>
    <row r="99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</row>
    <row r="100">
      <c r="A100" s="193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</row>
    <row r="10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  <c r="AE101" s="193"/>
      <c r="AF101" s="193"/>
    </row>
    <row r="102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</row>
    <row r="103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</row>
    <row r="104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</row>
    <row r="105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</row>
    <row r="106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</row>
    <row r="107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</row>
    <row r="108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</row>
    <row r="109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</row>
    <row r="110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</row>
    <row r="11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</row>
    <row r="112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</row>
    <row r="113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  <c r="AE113" s="193"/>
      <c r="AF113" s="193"/>
    </row>
    <row r="114">
      <c r="A114" s="193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  <c r="AD114" s="193"/>
      <c r="AE114" s="193"/>
      <c r="AF114" s="193"/>
    </row>
    <row r="115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  <c r="AE115" s="193"/>
      <c r="AF115" s="193"/>
    </row>
    <row r="116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</row>
    <row r="117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</row>
    <row r="118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  <c r="AE118" s="193"/>
      <c r="AF118" s="193"/>
    </row>
    <row r="119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3"/>
    </row>
    <row r="120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3"/>
    </row>
    <row r="12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</row>
    <row r="122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193"/>
    </row>
    <row r="123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  <c r="AE123" s="193"/>
      <c r="AF123" s="193"/>
    </row>
    <row r="124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193"/>
      <c r="AF124" s="193"/>
    </row>
    <row r="125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193"/>
      <c r="AF125" s="193"/>
    </row>
    <row r="126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193"/>
      <c r="AF126" s="193"/>
    </row>
    <row r="127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  <c r="AC127" s="193"/>
      <c r="AD127" s="193"/>
      <c r="AE127" s="193"/>
      <c r="AF127" s="193"/>
    </row>
    <row r="128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  <c r="AC128" s="193"/>
      <c r="AD128" s="193"/>
      <c r="AE128" s="193"/>
      <c r="AF128" s="193"/>
    </row>
    <row r="129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  <c r="AE129" s="193"/>
      <c r="AF129" s="193"/>
    </row>
    <row r="130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3"/>
    </row>
    <row r="13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  <c r="AB131" s="193"/>
      <c r="AC131" s="193"/>
      <c r="AD131" s="193"/>
      <c r="AE131" s="193"/>
      <c r="AF131" s="193"/>
    </row>
    <row r="132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  <c r="AB132" s="193"/>
      <c r="AC132" s="193"/>
      <c r="AD132" s="193"/>
      <c r="AE132" s="193"/>
      <c r="AF132" s="193"/>
    </row>
    <row r="133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  <c r="AC133" s="193"/>
      <c r="AD133" s="193"/>
      <c r="AE133" s="193"/>
      <c r="AF133" s="193"/>
    </row>
    <row r="134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</row>
    <row r="135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  <c r="AC135" s="193"/>
      <c r="AD135" s="193"/>
      <c r="AE135" s="193"/>
      <c r="AF135" s="193"/>
    </row>
    <row r="136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  <c r="AC136" s="193"/>
      <c r="AD136" s="193"/>
      <c r="AE136" s="193"/>
      <c r="AF136" s="193"/>
    </row>
    <row r="137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  <c r="AC137" s="193"/>
      <c r="AD137" s="193"/>
      <c r="AE137" s="193"/>
      <c r="AF137" s="193"/>
    </row>
    <row r="138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  <c r="AB138" s="193"/>
      <c r="AC138" s="193"/>
      <c r="AD138" s="193"/>
      <c r="AE138" s="193"/>
      <c r="AF138" s="193"/>
    </row>
    <row r="139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  <c r="AC139" s="193"/>
      <c r="AD139" s="193"/>
      <c r="AE139" s="193"/>
      <c r="AF139" s="193"/>
    </row>
    <row r="140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  <c r="AB140" s="193"/>
      <c r="AC140" s="193"/>
      <c r="AD140" s="193"/>
      <c r="AE140" s="193"/>
      <c r="AF140" s="193"/>
    </row>
    <row r="141">
      <c r="A141" s="193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  <c r="AB141" s="193"/>
      <c r="AC141" s="193"/>
      <c r="AD141" s="193"/>
      <c r="AE141" s="193"/>
      <c r="AF141" s="193"/>
    </row>
    <row r="142">
      <c r="A142" s="193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  <c r="AB142" s="193"/>
      <c r="AC142" s="193"/>
      <c r="AD142" s="193"/>
      <c r="AE142" s="193"/>
      <c r="AF142" s="193"/>
    </row>
    <row r="143">
      <c r="A143" s="193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  <c r="AB143" s="193"/>
      <c r="AC143" s="193"/>
      <c r="AD143" s="193"/>
      <c r="AE143" s="193"/>
      <c r="AF143" s="193"/>
    </row>
    <row r="144">
      <c r="A144" s="193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  <c r="AB144" s="193"/>
      <c r="AC144" s="193"/>
      <c r="AD144" s="193"/>
      <c r="AE144" s="193"/>
      <c r="AF144" s="193"/>
    </row>
    <row r="145">
      <c r="A145" s="193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  <c r="AB145" s="193"/>
      <c r="AC145" s="193"/>
      <c r="AD145" s="193"/>
      <c r="AE145" s="193"/>
      <c r="AF145" s="193"/>
    </row>
    <row r="146">
      <c r="A146" s="193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  <c r="AB146" s="193"/>
      <c r="AC146" s="193"/>
      <c r="AD146" s="193"/>
      <c r="AE146" s="193"/>
      <c r="AF146" s="193"/>
    </row>
    <row r="147">
      <c r="A147" s="193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93"/>
      <c r="AC147" s="193"/>
      <c r="AD147" s="193"/>
      <c r="AE147" s="193"/>
      <c r="AF147" s="193"/>
    </row>
    <row r="148">
      <c r="A148" s="19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  <c r="AB148" s="193"/>
      <c r="AC148" s="193"/>
      <c r="AD148" s="193"/>
      <c r="AE148" s="193"/>
      <c r="AF148" s="193"/>
    </row>
    <row r="149">
      <c r="A149" s="193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  <c r="AB149" s="193"/>
      <c r="AC149" s="193"/>
      <c r="AD149" s="193"/>
      <c r="AE149" s="193"/>
      <c r="AF149" s="193"/>
    </row>
    <row r="150">
      <c r="A150" s="193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  <c r="AB150" s="193"/>
      <c r="AC150" s="193"/>
      <c r="AD150" s="193"/>
      <c r="AE150" s="193"/>
      <c r="AF150" s="193"/>
    </row>
    <row r="151">
      <c r="A151" s="19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193"/>
      <c r="AC151" s="193"/>
      <c r="AD151" s="193"/>
      <c r="AE151" s="193"/>
      <c r="AF151" s="193"/>
    </row>
    <row r="152">
      <c r="A152" s="193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  <c r="AB152" s="193"/>
      <c r="AC152" s="193"/>
      <c r="AD152" s="193"/>
      <c r="AE152" s="193"/>
      <c r="AF152" s="193"/>
    </row>
    <row r="153">
      <c r="A153" s="193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  <c r="AB153" s="193"/>
      <c r="AC153" s="193"/>
      <c r="AD153" s="193"/>
      <c r="AE153" s="193"/>
      <c r="AF153" s="193"/>
    </row>
    <row r="154">
      <c r="A154" s="193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  <c r="AB154" s="193"/>
      <c r="AC154" s="193"/>
      <c r="AD154" s="193"/>
      <c r="AE154" s="193"/>
      <c r="AF154" s="193"/>
    </row>
    <row r="155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  <c r="AB155" s="193"/>
      <c r="AC155" s="193"/>
      <c r="AD155" s="193"/>
      <c r="AE155" s="193"/>
      <c r="AF155" s="193"/>
    </row>
    <row r="156">
      <c r="A156" s="19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  <c r="AB156" s="193"/>
      <c r="AC156" s="193"/>
      <c r="AD156" s="193"/>
      <c r="AE156" s="193"/>
      <c r="AF156" s="193"/>
    </row>
    <row r="157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  <c r="AB157" s="193"/>
      <c r="AC157" s="193"/>
      <c r="AD157" s="193"/>
      <c r="AE157" s="193"/>
      <c r="AF157" s="193"/>
    </row>
    <row r="158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  <c r="AB158" s="193"/>
      <c r="AC158" s="193"/>
      <c r="AD158" s="193"/>
      <c r="AE158" s="193"/>
      <c r="AF158" s="193"/>
    </row>
    <row r="159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  <c r="AB159" s="193"/>
      <c r="AC159" s="193"/>
      <c r="AD159" s="193"/>
      <c r="AE159" s="193"/>
      <c r="AF159" s="193"/>
    </row>
    <row r="160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  <c r="AB160" s="193"/>
      <c r="AC160" s="193"/>
      <c r="AD160" s="193"/>
      <c r="AE160" s="193"/>
      <c r="AF160" s="193"/>
    </row>
    <row r="161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  <c r="AB161" s="193"/>
      <c r="AC161" s="193"/>
      <c r="AD161" s="193"/>
      <c r="AE161" s="193"/>
      <c r="AF161" s="193"/>
    </row>
    <row r="162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  <c r="AB162" s="193"/>
      <c r="AC162" s="193"/>
      <c r="AD162" s="193"/>
      <c r="AE162" s="193"/>
      <c r="AF162" s="193"/>
    </row>
    <row r="163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  <c r="AB163" s="193"/>
      <c r="AC163" s="193"/>
      <c r="AD163" s="193"/>
      <c r="AE163" s="193"/>
      <c r="AF163" s="193"/>
    </row>
    <row r="164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  <c r="AB164" s="193"/>
      <c r="AC164" s="193"/>
      <c r="AD164" s="193"/>
      <c r="AE164" s="193"/>
      <c r="AF164" s="193"/>
    </row>
    <row r="165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  <c r="AB165" s="193"/>
      <c r="AC165" s="193"/>
      <c r="AD165" s="193"/>
      <c r="AE165" s="193"/>
      <c r="AF165" s="193"/>
    </row>
    <row r="166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  <c r="AB166" s="193"/>
      <c r="AC166" s="193"/>
      <c r="AD166" s="193"/>
      <c r="AE166" s="193"/>
      <c r="AF166" s="193"/>
    </row>
    <row r="167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  <c r="AB167" s="193"/>
      <c r="AC167" s="193"/>
      <c r="AD167" s="193"/>
      <c r="AE167" s="193"/>
      <c r="AF167" s="193"/>
    </row>
    <row r="168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93"/>
      <c r="AC168" s="193"/>
      <c r="AD168" s="193"/>
      <c r="AE168" s="193"/>
      <c r="AF168" s="193"/>
    </row>
    <row r="169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93"/>
      <c r="AC169" s="193"/>
      <c r="AD169" s="193"/>
      <c r="AE169" s="193"/>
      <c r="AF169" s="193"/>
    </row>
    <row r="170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93"/>
      <c r="AC170" s="193"/>
      <c r="AD170" s="193"/>
      <c r="AE170" s="193"/>
      <c r="AF170" s="193"/>
    </row>
    <row r="171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  <c r="AB171" s="193"/>
      <c r="AC171" s="193"/>
      <c r="AD171" s="193"/>
      <c r="AE171" s="193"/>
      <c r="AF171" s="193"/>
    </row>
    <row r="172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  <c r="AB172" s="193"/>
      <c r="AC172" s="193"/>
      <c r="AD172" s="193"/>
      <c r="AE172" s="193"/>
      <c r="AF172" s="193"/>
    </row>
    <row r="173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  <c r="AB173" s="193"/>
      <c r="AC173" s="193"/>
      <c r="AD173" s="193"/>
      <c r="AE173" s="193"/>
      <c r="AF173" s="193"/>
    </row>
    <row r="174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  <c r="AB174" s="193"/>
      <c r="AC174" s="193"/>
      <c r="AD174" s="193"/>
      <c r="AE174" s="193"/>
      <c r="AF174" s="193"/>
    </row>
    <row r="175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  <c r="AB175" s="193"/>
      <c r="AC175" s="193"/>
      <c r="AD175" s="193"/>
      <c r="AE175" s="193"/>
      <c r="AF175" s="193"/>
    </row>
    <row r="176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  <c r="AB176" s="193"/>
      <c r="AC176" s="193"/>
      <c r="AD176" s="193"/>
      <c r="AE176" s="193"/>
      <c r="AF176" s="193"/>
    </row>
    <row r="177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  <c r="AB177" s="193"/>
      <c r="AC177" s="193"/>
      <c r="AD177" s="193"/>
      <c r="AE177" s="193"/>
      <c r="AF177" s="193"/>
    </row>
    <row r="178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  <c r="AB178" s="193"/>
      <c r="AC178" s="193"/>
      <c r="AD178" s="193"/>
      <c r="AE178" s="193"/>
      <c r="AF178" s="193"/>
    </row>
    <row r="179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  <c r="AB179" s="193"/>
      <c r="AC179" s="193"/>
      <c r="AD179" s="193"/>
      <c r="AE179" s="193"/>
      <c r="AF179" s="193"/>
    </row>
    <row r="180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  <c r="AB180" s="193"/>
      <c r="AC180" s="193"/>
      <c r="AD180" s="193"/>
      <c r="AE180" s="193"/>
      <c r="AF180" s="193"/>
    </row>
    <row r="181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  <c r="AB181" s="193"/>
      <c r="AC181" s="193"/>
      <c r="AD181" s="193"/>
      <c r="AE181" s="193"/>
      <c r="AF181" s="193"/>
    </row>
    <row r="182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  <c r="AB182" s="193"/>
      <c r="AC182" s="193"/>
      <c r="AD182" s="193"/>
      <c r="AE182" s="193"/>
      <c r="AF182" s="193"/>
    </row>
    <row r="183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  <c r="AB183" s="193"/>
      <c r="AC183" s="193"/>
      <c r="AD183" s="193"/>
      <c r="AE183" s="193"/>
      <c r="AF183" s="193"/>
    </row>
    <row r="184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  <c r="AB184" s="193"/>
      <c r="AC184" s="193"/>
      <c r="AD184" s="193"/>
      <c r="AE184" s="193"/>
      <c r="AF184" s="193"/>
    </row>
    <row r="185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  <c r="AB185" s="193"/>
      <c r="AC185" s="193"/>
      <c r="AD185" s="193"/>
      <c r="AE185" s="193"/>
      <c r="AF185" s="193"/>
    </row>
    <row r="186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  <c r="AB186" s="193"/>
      <c r="AC186" s="193"/>
      <c r="AD186" s="193"/>
      <c r="AE186" s="193"/>
      <c r="AF186" s="193"/>
    </row>
    <row r="187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  <c r="AB187" s="193"/>
      <c r="AC187" s="193"/>
      <c r="AD187" s="193"/>
      <c r="AE187" s="193"/>
      <c r="AF187" s="193"/>
    </row>
    <row r="188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  <c r="AB188" s="193"/>
      <c r="AC188" s="193"/>
      <c r="AD188" s="193"/>
      <c r="AE188" s="193"/>
      <c r="AF188" s="193"/>
    </row>
    <row r="189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  <c r="AB189" s="193"/>
      <c r="AC189" s="193"/>
      <c r="AD189" s="193"/>
      <c r="AE189" s="193"/>
      <c r="AF189" s="193"/>
    </row>
    <row r="190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  <c r="AB190" s="193"/>
      <c r="AC190" s="193"/>
      <c r="AD190" s="193"/>
      <c r="AE190" s="193"/>
      <c r="AF190" s="193"/>
    </row>
    <row r="191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  <c r="AB191" s="193"/>
      <c r="AC191" s="193"/>
      <c r="AD191" s="193"/>
      <c r="AE191" s="193"/>
      <c r="AF191" s="193"/>
    </row>
    <row r="192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  <c r="AB192" s="193"/>
      <c r="AC192" s="193"/>
      <c r="AD192" s="193"/>
      <c r="AE192" s="193"/>
      <c r="AF192" s="193"/>
    </row>
    <row r="193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  <c r="AB193" s="193"/>
      <c r="AC193" s="193"/>
      <c r="AD193" s="193"/>
      <c r="AE193" s="193"/>
      <c r="AF193" s="193"/>
    </row>
    <row r="194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  <c r="AB194" s="193"/>
      <c r="AC194" s="193"/>
      <c r="AD194" s="193"/>
      <c r="AE194" s="193"/>
      <c r="AF194" s="193"/>
    </row>
    <row r="195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  <c r="AB195" s="193"/>
      <c r="AC195" s="193"/>
      <c r="AD195" s="193"/>
      <c r="AE195" s="193"/>
      <c r="AF195" s="193"/>
    </row>
    <row r="196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  <c r="AB196" s="193"/>
      <c r="AC196" s="193"/>
      <c r="AD196" s="193"/>
      <c r="AE196" s="193"/>
      <c r="AF196" s="193"/>
    </row>
    <row r="197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  <c r="AB197" s="193"/>
      <c r="AC197" s="193"/>
      <c r="AD197" s="193"/>
      <c r="AE197" s="193"/>
      <c r="AF197" s="193"/>
    </row>
    <row r="198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  <c r="AB198" s="193"/>
      <c r="AC198" s="193"/>
      <c r="AD198" s="193"/>
      <c r="AE198" s="193"/>
      <c r="AF198" s="193"/>
    </row>
    <row r="199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  <c r="AB199" s="193"/>
      <c r="AC199" s="193"/>
      <c r="AD199" s="193"/>
      <c r="AE199" s="193"/>
      <c r="AF199" s="193"/>
    </row>
    <row r="200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  <c r="AB200" s="193"/>
      <c r="AC200" s="193"/>
      <c r="AD200" s="193"/>
      <c r="AE200" s="193"/>
      <c r="AF200" s="193"/>
    </row>
    <row r="20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  <c r="AB201" s="193"/>
      <c r="AC201" s="193"/>
      <c r="AD201" s="193"/>
      <c r="AE201" s="193"/>
      <c r="AF201" s="193"/>
    </row>
    <row r="202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  <c r="AB202" s="193"/>
      <c r="AC202" s="193"/>
      <c r="AD202" s="193"/>
      <c r="AE202" s="193"/>
      <c r="AF202" s="193"/>
    </row>
    <row r="203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  <c r="AB203" s="193"/>
      <c r="AC203" s="193"/>
      <c r="AD203" s="193"/>
      <c r="AE203" s="193"/>
      <c r="AF203" s="193"/>
    </row>
    <row r="204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  <c r="AB204" s="193"/>
      <c r="AC204" s="193"/>
      <c r="AD204" s="193"/>
      <c r="AE204" s="193"/>
      <c r="AF204" s="193"/>
    </row>
    <row r="205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  <c r="AB205" s="193"/>
      <c r="AC205" s="193"/>
      <c r="AD205" s="193"/>
      <c r="AE205" s="193"/>
      <c r="AF205" s="193"/>
    </row>
    <row r="206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  <c r="AB206" s="193"/>
      <c r="AC206" s="193"/>
      <c r="AD206" s="193"/>
      <c r="AE206" s="193"/>
      <c r="AF206" s="193"/>
    </row>
    <row r="207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  <c r="AB207" s="193"/>
      <c r="AC207" s="193"/>
      <c r="AD207" s="193"/>
      <c r="AE207" s="193"/>
      <c r="AF207" s="193"/>
    </row>
    <row r="208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  <c r="AB208" s="193"/>
      <c r="AC208" s="193"/>
      <c r="AD208" s="193"/>
      <c r="AE208" s="193"/>
      <c r="AF208" s="193"/>
    </row>
    <row r="209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  <c r="AB209" s="193"/>
      <c r="AC209" s="193"/>
      <c r="AD209" s="193"/>
      <c r="AE209" s="193"/>
      <c r="AF209" s="193"/>
    </row>
    <row r="2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  <c r="AB210" s="193"/>
      <c r="AC210" s="193"/>
      <c r="AD210" s="193"/>
      <c r="AE210" s="193"/>
      <c r="AF210" s="193"/>
    </row>
    <row r="21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  <c r="AB211" s="193"/>
      <c r="AC211" s="193"/>
      <c r="AD211" s="193"/>
      <c r="AE211" s="193"/>
      <c r="AF211" s="193"/>
    </row>
    <row r="212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  <c r="AB212" s="193"/>
      <c r="AC212" s="193"/>
      <c r="AD212" s="193"/>
      <c r="AE212" s="193"/>
      <c r="AF212" s="193"/>
    </row>
    <row r="213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  <c r="AB213" s="193"/>
      <c r="AC213" s="193"/>
      <c r="AD213" s="193"/>
      <c r="AE213" s="193"/>
      <c r="AF213" s="193"/>
    </row>
    <row r="214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  <c r="AB214" s="193"/>
      <c r="AC214" s="193"/>
      <c r="AD214" s="193"/>
      <c r="AE214" s="193"/>
      <c r="AF214" s="193"/>
    </row>
    <row r="215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  <c r="AB215" s="193"/>
      <c r="AC215" s="193"/>
      <c r="AD215" s="193"/>
      <c r="AE215" s="193"/>
      <c r="AF215" s="193"/>
    </row>
    <row r="216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193"/>
    </row>
    <row r="217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  <c r="AB217" s="193"/>
      <c r="AC217" s="193"/>
      <c r="AD217" s="193"/>
      <c r="AE217" s="193"/>
      <c r="AF217" s="193"/>
    </row>
    <row r="218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  <c r="AB218" s="193"/>
      <c r="AC218" s="193"/>
      <c r="AD218" s="193"/>
      <c r="AE218" s="193"/>
      <c r="AF218" s="193"/>
    </row>
    <row r="219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  <c r="AB219" s="193"/>
      <c r="AC219" s="193"/>
      <c r="AD219" s="193"/>
      <c r="AE219" s="193"/>
      <c r="AF219" s="193"/>
    </row>
    <row r="22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  <c r="AB220" s="193"/>
      <c r="AC220" s="193"/>
      <c r="AD220" s="193"/>
      <c r="AE220" s="193"/>
      <c r="AF220" s="193"/>
    </row>
    <row r="22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  <c r="AB221" s="193"/>
      <c r="AC221" s="193"/>
      <c r="AD221" s="193"/>
      <c r="AE221" s="193"/>
      <c r="AF221" s="193"/>
    </row>
    <row r="222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  <c r="AB222" s="193"/>
      <c r="AC222" s="193"/>
      <c r="AD222" s="193"/>
      <c r="AE222" s="193"/>
      <c r="AF222" s="193"/>
    </row>
    <row r="223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  <c r="AB223" s="193"/>
      <c r="AC223" s="193"/>
      <c r="AD223" s="193"/>
      <c r="AE223" s="193"/>
      <c r="AF223" s="193"/>
    </row>
    <row r="224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  <c r="AB224" s="193"/>
      <c r="AC224" s="193"/>
      <c r="AD224" s="193"/>
      <c r="AE224" s="193"/>
      <c r="AF224" s="193"/>
    </row>
    <row r="225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  <c r="AC225" s="193"/>
      <c r="AD225" s="193"/>
      <c r="AE225" s="193"/>
      <c r="AF225" s="193"/>
    </row>
    <row r="226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  <c r="AB226" s="193"/>
      <c r="AC226" s="193"/>
      <c r="AD226" s="193"/>
      <c r="AE226" s="193"/>
      <c r="AF226" s="193"/>
    </row>
    <row r="227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  <c r="AB227" s="193"/>
      <c r="AC227" s="193"/>
      <c r="AD227" s="193"/>
      <c r="AE227" s="193"/>
      <c r="AF227" s="193"/>
    </row>
    <row r="228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  <c r="AB228" s="193"/>
      <c r="AC228" s="193"/>
      <c r="AD228" s="193"/>
      <c r="AE228" s="193"/>
      <c r="AF228" s="193"/>
    </row>
    <row r="229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  <c r="AB229" s="193"/>
      <c r="AC229" s="193"/>
      <c r="AD229" s="193"/>
      <c r="AE229" s="193"/>
      <c r="AF229" s="193"/>
    </row>
    <row r="23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  <c r="AB230" s="193"/>
      <c r="AC230" s="193"/>
      <c r="AD230" s="193"/>
      <c r="AE230" s="193"/>
      <c r="AF230" s="193"/>
    </row>
    <row r="23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  <c r="AB231" s="193"/>
      <c r="AC231" s="193"/>
      <c r="AD231" s="193"/>
      <c r="AE231" s="193"/>
      <c r="AF231" s="193"/>
    </row>
    <row r="232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  <c r="AB232" s="193"/>
      <c r="AC232" s="193"/>
      <c r="AD232" s="193"/>
      <c r="AE232" s="193"/>
      <c r="AF232" s="193"/>
    </row>
    <row r="233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  <c r="AB233" s="193"/>
      <c r="AC233" s="193"/>
      <c r="AD233" s="193"/>
      <c r="AE233" s="193"/>
      <c r="AF233" s="193"/>
    </row>
    <row r="234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  <c r="AB234" s="193"/>
      <c r="AC234" s="193"/>
      <c r="AD234" s="193"/>
      <c r="AE234" s="193"/>
      <c r="AF234" s="193"/>
    </row>
    <row r="235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  <c r="AB235" s="193"/>
      <c r="AC235" s="193"/>
      <c r="AD235" s="193"/>
      <c r="AE235" s="193"/>
      <c r="AF235" s="193"/>
    </row>
    <row r="236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  <c r="AB236" s="193"/>
      <c r="AC236" s="193"/>
      <c r="AD236" s="193"/>
      <c r="AE236" s="193"/>
      <c r="AF236" s="193"/>
    </row>
    <row r="237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  <c r="AB237" s="193"/>
      <c r="AC237" s="193"/>
      <c r="AD237" s="193"/>
      <c r="AE237" s="193"/>
      <c r="AF237" s="193"/>
    </row>
    <row r="238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  <c r="AB238" s="193"/>
      <c r="AC238" s="193"/>
      <c r="AD238" s="193"/>
      <c r="AE238" s="193"/>
      <c r="AF238" s="193"/>
    </row>
    <row r="239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  <c r="AB239" s="193"/>
      <c r="AC239" s="193"/>
      <c r="AD239" s="193"/>
      <c r="AE239" s="193"/>
      <c r="AF239" s="193"/>
    </row>
    <row r="24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  <c r="AB240" s="193"/>
      <c r="AC240" s="193"/>
      <c r="AD240" s="193"/>
      <c r="AE240" s="193"/>
      <c r="AF240" s="193"/>
    </row>
    <row r="24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  <c r="AB241" s="193"/>
      <c r="AC241" s="193"/>
      <c r="AD241" s="193"/>
      <c r="AE241" s="193"/>
      <c r="AF241" s="193"/>
    </row>
    <row r="242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  <c r="AB242" s="193"/>
      <c r="AC242" s="193"/>
      <c r="AD242" s="193"/>
      <c r="AE242" s="193"/>
      <c r="AF242" s="193"/>
    </row>
    <row r="243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  <c r="AB243" s="193"/>
      <c r="AC243" s="193"/>
      <c r="AD243" s="193"/>
      <c r="AE243" s="193"/>
      <c r="AF243" s="193"/>
    </row>
    <row r="244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  <c r="AB244" s="193"/>
      <c r="AC244" s="193"/>
      <c r="AD244" s="193"/>
      <c r="AE244" s="193"/>
      <c r="AF244" s="193"/>
    </row>
    <row r="245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93"/>
      <c r="AC245" s="193"/>
      <c r="AD245" s="193"/>
      <c r="AE245" s="193"/>
      <c r="AF245" s="193"/>
    </row>
    <row r="246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  <c r="AB246" s="193"/>
      <c r="AC246" s="193"/>
      <c r="AD246" s="193"/>
      <c r="AE246" s="193"/>
      <c r="AF246" s="193"/>
    </row>
    <row r="247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93"/>
      <c r="AC247" s="193"/>
      <c r="AD247" s="193"/>
      <c r="AE247" s="193"/>
      <c r="AF247" s="193"/>
    </row>
    <row r="248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  <c r="AB248" s="193"/>
      <c r="AC248" s="193"/>
      <c r="AD248" s="193"/>
      <c r="AE248" s="193"/>
      <c r="AF248" s="193"/>
    </row>
    <row r="249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  <c r="AB249" s="193"/>
      <c r="AC249" s="193"/>
      <c r="AD249" s="193"/>
      <c r="AE249" s="193"/>
      <c r="AF249" s="193"/>
    </row>
    <row r="25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  <c r="AB250" s="193"/>
      <c r="AC250" s="193"/>
      <c r="AD250" s="193"/>
      <c r="AE250" s="193"/>
      <c r="AF250" s="193"/>
    </row>
    <row r="25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  <c r="AB251" s="193"/>
      <c r="AC251" s="193"/>
      <c r="AD251" s="193"/>
      <c r="AE251" s="193"/>
      <c r="AF251" s="193"/>
    </row>
    <row r="252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  <c r="AB252" s="193"/>
      <c r="AC252" s="193"/>
      <c r="AD252" s="193"/>
      <c r="AE252" s="193"/>
      <c r="AF252" s="193"/>
    </row>
    <row r="253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  <c r="AB253" s="193"/>
      <c r="AC253" s="193"/>
      <c r="AD253" s="193"/>
      <c r="AE253" s="193"/>
      <c r="AF253" s="193"/>
    </row>
    <row r="254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  <c r="AB254" s="193"/>
      <c r="AC254" s="193"/>
      <c r="AD254" s="193"/>
      <c r="AE254" s="193"/>
      <c r="AF254" s="193"/>
    </row>
    <row r="255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  <c r="AB255" s="193"/>
      <c r="AC255" s="193"/>
      <c r="AD255" s="193"/>
      <c r="AE255" s="193"/>
      <c r="AF255" s="193"/>
    </row>
    <row r="256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  <c r="AB256" s="193"/>
      <c r="AC256" s="193"/>
      <c r="AD256" s="193"/>
      <c r="AE256" s="193"/>
      <c r="AF256" s="193"/>
    </row>
    <row r="257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  <c r="AB257" s="193"/>
      <c r="AC257" s="193"/>
      <c r="AD257" s="193"/>
      <c r="AE257" s="193"/>
      <c r="AF257" s="193"/>
    </row>
    <row r="258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  <c r="AB258" s="193"/>
      <c r="AC258" s="193"/>
      <c r="AD258" s="193"/>
      <c r="AE258" s="193"/>
      <c r="AF258" s="193"/>
    </row>
    <row r="259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  <c r="AB259" s="193"/>
      <c r="AC259" s="193"/>
      <c r="AD259" s="193"/>
      <c r="AE259" s="193"/>
      <c r="AF259" s="193"/>
    </row>
    <row r="26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  <c r="AB260" s="193"/>
      <c r="AC260" s="193"/>
      <c r="AD260" s="193"/>
      <c r="AE260" s="193"/>
      <c r="AF260" s="193"/>
    </row>
    <row r="26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  <c r="AB261" s="193"/>
      <c r="AC261" s="193"/>
      <c r="AD261" s="193"/>
      <c r="AE261" s="193"/>
      <c r="AF261" s="193"/>
    </row>
    <row r="262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  <c r="AB262" s="193"/>
      <c r="AC262" s="193"/>
      <c r="AD262" s="193"/>
      <c r="AE262" s="193"/>
      <c r="AF262" s="193"/>
    </row>
    <row r="263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  <c r="AB263" s="193"/>
      <c r="AC263" s="193"/>
      <c r="AD263" s="193"/>
      <c r="AE263" s="193"/>
      <c r="AF263" s="193"/>
    </row>
    <row r="264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  <c r="AB264" s="193"/>
      <c r="AC264" s="193"/>
      <c r="AD264" s="193"/>
      <c r="AE264" s="193"/>
      <c r="AF264" s="193"/>
    </row>
    <row r="265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  <c r="AB265" s="193"/>
      <c r="AC265" s="193"/>
      <c r="AD265" s="193"/>
      <c r="AE265" s="193"/>
      <c r="AF265" s="193"/>
    </row>
    <row r="266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  <c r="AB266" s="193"/>
      <c r="AC266" s="193"/>
      <c r="AD266" s="193"/>
      <c r="AE266" s="193"/>
      <c r="AF266" s="193"/>
    </row>
    <row r="267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  <c r="AA267" s="193"/>
      <c r="AB267" s="193"/>
      <c r="AC267" s="193"/>
      <c r="AD267" s="193"/>
      <c r="AE267" s="193"/>
      <c r="AF267" s="193"/>
    </row>
    <row r="268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  <c r="AB268" s="193"/>
      <c r="AC268" s="193"/>
      <c r="AD268" s="193"/>
      <c r="AE268" s="193"/>
      <c r="AF268" s="193"/>
    </row>
    <row r="269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  <c r="AB269" s="193"/>
      <c r="AC269" s="193"/>
      <c r="AD269" s="193"/>
      <c r="AE269" s="193"/>
      <c r="AF269" s="193"/>
    </row>
    <row r="27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  <c r="AB270" s="193"/>
      <c r="AC270" s="193"/>
      <c r="AD270" s="193"/>
      <c r="AE270" s="193"/>
      <c r="AF270" s="193"/>
    </row>
    <row r="27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  <c r="AB271" s="193"/>
      <c r="AC271" s="193"/>
      <c r="AD271" s="193"/>
      <c r="AE271" s="193"/>
      <c r="AF271" s="193"/>
    </row>
    <row r="272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  <c r="AB272" s="193"/>
      <c r="AC272" s="193"/>
      <c r="AD272" s="193"/>
      <c r="AE272" s="193"/>
      <c r="AF272" s="193"/>
    </row>
    <row r="273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  <c r="AA273" s="193"/>
      <c r="AB273" s="193"/>
      <c r="AC273" s="193"/>
      <c r="AD273" s="193"/>
      <c r="AE273" s="193"/>
      <c r="AF273" s="193"/>
    </row>
    <row r="274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  <c r="AB274" s="193"/>
      <c r="AC274" s="193"/>
      <c r="AD274" s="193"/>
      <c r="AE274" s="193"/>
      <c r="AF274" s="193"/>
    </row>
    <row r="275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  <c r="AB275" s="193"/>
      <c r="AC275" s="193"/>
      <c r="AD275" s="193"/>
      <c r="AE275" s="193"/>
      <c r="AF275" s="193"/>
    </row>
    <row r="276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  <c r="AB276" s="193"/>
      <c r="AC276" s="193"/>
      <c r="AD276" s="193"/>
      <c r="AE276" s="193"/>
      <c r="AF276" s="193"/>
    </row>
    <row r="277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  <c r="AB277" s="193"/>
      <c r="AC277" s="193"/>
      <c r="AD277" s="193"/>
      <c r="AE277" s="193"/>
      <c r="AF277" s="193"/>
    </row>
    <row r="278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  <c r="AB278" s="193"/>
      <c r="AC278" s="193"/>
      <c r="AD278" s="193"/>
      <c r="AE278" s="193"/>
      <c r="AF278" s="193"/>
    </row>
    <row r="279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  <c r="AA279" s="193"/>
      <c r="AB279" s="193"/>
      <c r="AC279" s="193"/>
      <c r="AD279" s="193"/>
      <c r="AE279" s="193"/>
      <c r="AF279" s="193"/>
    </row>
    <row r="28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  <c r="AB280" s="193"/>
      <c r="AC280" s="193"/>
      <c r="AD280" s="193"/>
      <c r="AE280" s="193"/>
      <c r="AF280" s="193"/>
    </row>
    <row r="28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  <c r="AB281" s="193"/>
      <c r="AC281" s="193"/>
      <c r="AD281" s="193"/>
      <c r="AE281" s="193"/>
      <c r="AF281" s="193"/>
    </row>
    <row r="282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  <c r="AB282" s="193"/>
      <c r="AC282" s="193"/>
      <c r="AD282" s="193"/>
      <c r="AE282" s="193"/>
      <c r="AF282" s="193"/>
    </row>
    <row r="283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  <c r="AB283" s="193"/>
      <c r="AC283" s="193"/>
      <c r="AD283" s="193"/>
      <c r="AE283" s="193"/>
      <c r="AF283" s="193"/>
    </row>
    <row r="284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  <c r="AB284" s="193"/>
      <c r="AC284" s="193"/>
      <c r="AD284" s="193"/>
      <c r="AE284" s="193"/>
      <c r="AF284" s="193"/>
    </row>
    <row r="285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  <c r="AB285" s="193"/>
      <c r="AC285" s="193"/>
      <c r="AD285" s="193"/>
      <c r="AE285" s="193"/>
      <c r="AF285" s="193"/>
    </row>
    <row r="286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  <c r="AA286" s="193"/>
      <c r="AB286" s="193"/>
      <c r="AC286" s="193"/>
      <c r="AD286" s="193"/>
      <c r="AE286" s="193"/>
      <c r="AF286" s="193"/>
    </row>
    <row r="287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  <c r="AA287" s="193"/>
      <c r="AB287" s="193"/>
      <c r="AC287" s="193"/>
      <c r="AD287" s="193"/>
      <c r="AE287" s="193"/>
      <c r="AF287" s="193"/>
    </row>
    <row r="288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  <c r="AB288" s="193"/>
      <c r="AC288" s="193"/>
      <c r="AD288" s="193"/>
      <c r="AE288" s="193"/>
      <c r="AF288" s="193"/>
    </row>
    <row r="289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  <c r="AB289" s="193"/>
      <c r="AC289" s="193"/>
      <c r="AD289" s="193"/>
      <c r="AE289" s="193"/>
      <c r="AF289" s="193"/>
    </row>
    <row r="29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  <c r="AB290" s="193"/>
      <c r="AC290" s="193"/>
      <c r="AD290" s="193"/>
      <c r="AE290" s="193"/>
      <c r="AF290" s="193"/>
    </row>
    <row r="29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  <c r="AA291" s="193"/>
      <c r="AB291" s="193"/>
      <c r="AC291" s="193"/>
      <c r="AD291" s="193"/>
      <c r="AE291" s="193"/>
      <c r="AF291" s="193"/>
    </row>
    <row r="292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  <c r="AB292" s="193"/>
      <c r="AC292" s="193"/>
      <c r="AD292" s="193"/>
      <c r="AE292" s="193"/>
      <c r="AF292" s="193"/>
    </row>
    <row r="293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  <c r="AB293" s="193"/>
      <c r="AC293" s="193"/>
      <c r="AD293" s="193"/>
      <c r="AE293" s="193"/>
      <c r="AF293" s="193"/>
    </row>
    <row r="294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  <c r="AB294" s="193"/>
      <c r="AC294" s="193"/>
      <c r="AD294" s="193"/>
      <c r="AE294" s="193"/>
      <c r="AF294" s="193"/>
    </row>
    <row r="295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  <c r="AA295" s="193"/>
      <c r="AB295" s="193"/>
      <c r="AC295" s="193"/>
      <c r="AD295" s="193"/>
      <c r="AE295" s="193"/>
      <c r="AF295" s="193"/>
    </row>
    <row r="296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  <c r="AB296" s="193"/>
      <c r="AC296" s="193"/>
      <c r="AD296" s="193"/>
      <c r="AE296" s="193"/>
      <c r="AF296" s="193"/>
    </row>
    <row r="297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  <c r="AA297" s="193"/>
      <c r="AB297" s="193"/>
      <c r="AC297" s="193"/>
      <c r="AD297" s="193"/>
      <c r="AE297" s="193"/>
      <c r="AF297" s="193"/>
    </row>
    <row r="298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  <c r="AA298" s="193"/>
      <c r="AB298" s="193"/>
      <c r="AC298" s="193"/>
      <c r="AD298" s="193"/>
      <c r="AE298" s="193"/>
      <c r="AF298" s="193"/>
    </row>
    <row r="299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  <c r="AA299" s="193"/>
      <c r="AB299" s="193"/>
      <c r="AC299" s="193"/>
      <c r="AD299" s="193"/>
      <c r="AE299" s="193"/>
      <c r="AF299" s="193"/>
    </row>
    <row r="30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  <c r="AB300" s="193"/>
      <c r="AC300" s="193"/>
      <c r="AD300" s="193"/>
      <c r="AE300" s="193"/>
      <c r="AF300" s="193"/>
    </row>
    <row r="30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  <c r="AA301" s="193"/>
      <c r="AB301" s="193"/>
      <c r="AC301" s="193"/>
      <c r="AD301" s="193"/>
      <c r="AE301" s="193"/>
      <c r="AF301" s="193"/>
    </row>
    <row r="302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  <c r="AA302" s="193"/>
      <c r="AB302" s="193"/>
      <c r="AC302" s="193"/>
      <c r="AD302" s="193"/>
      <c r="AE302" s="193"/>
      <c r="AF302" s="193"/>
    </row>
    <row r="303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  <c r="AA303" s="193"/>
      <c r="AB303" s="193"/>
      <c r="AC303" s="193"/>
      <c r="AD303" s="193"/>
      <c r="AE303" s="193"/>
      <c r="AF303" s="193"/>
    </row>
    <row r="304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  <c r="AA304" s="193"/>
      <c r="AB304" s="193"/>
      <c r="AC304" s="193"/>
      <c r="AD304" s="193"/>
      <c r="AE304" s="193"/>
      <c r="AF304" s="193"/>
    </row>
    <row r="305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  <c r="AA305" s="193"/>
      <c r="AB305" s="193"/>
      <c r="AC305" s="193"/>
      <c r="AD305" s="193"/>
      <c r="AE305" s="193"/>
      <c r="AF305" s="193"/>
    </row>
    <row r="306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  <c r="AB306" s="193"/>
      <c r="AC306" s="193"/>
      <c r="AD306" s="193"/>
      <c r="AE306" s="193"/>
      <c r="AF306" s="193"/>
    </row>
    <row r="307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  <c r="AA307" s="193"/>
      <c r="AB307" s="193"/>
      <c r="AC307" s="193"/>
      <c r="AD307" s="193"/>
      <c r="AE307" s="193"/>
      <c r="AF307" s="193"/>
    </row>
    <row r="308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  <c r="AA308" s="193"/>
      <c r="AB308" s="193"/>
      <c r="AC308" s="193"/>
      <c r="AD308" s="193"/>
      <c r="AE308" s="193"/>
      <c r="AF308" s="193"/>
    </row>
    <row r="309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  <c r="AB309" s="193"/>
      <c r="AC309" s="193"/>
      <c r="AD309" s="193"/>
      <c r="AE309" s="193"/>
      <c r="AF309" s="193"/>
    </row>
    <row r="3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  <c r="AB310" s="193"/>
      <c r="AC310" s="193"/>
      <c r="AD310" s="193"/>
      <c r="AE310" s="193"/>
      <c r="AF310" s="193"/>
    </row>
    <row r="31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  <c r="AA311" s="193"/>
      <c r="AB311" s="193"/>
      <c r="AC311" s="193"/>
      <c r="AD311" s="193"/>
      <c r="AE311" s="193"/>
      <c r="AF311" s="193"/>
    </row>
    <row r="312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  <c r="AA312" s="193"/>
      <c r="AB312" s="193"/>
      <c r="AC312" s="193"/>
      <c r="AD312" s="193"/>
      <c r="AE312" s="193"/>
      <c r="AF312" s="193"/>
    </row>
    <row r="313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  <c r="AA313" s="193"/>
      <c r="AB313" s="193"/>
      <c r="AC313" s="193"/>
      <c r="AD313" s="193"/>
      <c r="AE313" s="193"/>
      <c r="AF313" s="193"/>
    </row>
    <row r="314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  <c r="AA314" s="193"/>
      <c r="AB314" s="193"/>
      <c r="AC314" s="193"/>
      <c r="AD314" s="193"/>
      <c r="AE314" s="193"/>
      <c r="AF314" s="193"/>
    </row>
    <row r="315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  <c r="AA315" s="193"/>
      <c r="AB315" s="193"/>
      <c r="AC315" s="193"/>
      <c r="AD315" s="193"/>
      <c r="AE315" s="193"/>
      <c r="AF315" s="193"/>
    </row>
    <row r="316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  <c r="AB316" s="193"/>
      <c r="AC316" s="193"/>
      <c r="AD316" s="193"/>
      <c r="AE316" s="193"/>
      <c r="AF316" s="193"/>
    </row>
    <row r="317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  <c r="AB317" s="193"/>
      <c r="AC317" s="193"/>
      <c r="AD317" s="193"/>
      <c r="AE317" s="193"/>
      <c r="AF317" s="193"/>
    </row>
    <row r="318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  <c r="AA318" s="193"/>
      <c r="AB318" s="193"/>
      <c r="AC318" s="193"/>
      <c r="AD318" s="193"/>
      <c r="AE318" s="193"/>
      <c r="AF318" s="193"/>
    </row>
    <row r="319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  <c r="AA319" s="193"/>
      <c r="AB319" s="193"/>
      <c r="AC319" s="193"/>
      <c r="AD319" s="193"/>
      <c r="AE319" s="193"/>
      <c r="AF319" s="193"/>
    </row>
    <row r="32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  <c r="AB320" s="193"/>
      <c r="AC320" s="193"/>
      <c r="AD320" s="193"/>
      <c r="AE320" s="193"/>
      <c r="AF320" s="193"/>
    </row>
    <row r="32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  <c r="AA321" s="193"/>
      <c r="AB321" s="193"/>
      <c r="AC321" s="193"/>
      <c r="AD321" s="193"/>
      <c r="AE321" s="193"/>
      <c r="AF321" s="193"/>
    </row>
    <row r="322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  <c r="AB322" s="193"/>
      <c r="AC322" s="193"/>
      <c r="AD322" s="193"/>
      <c r="AE322" s="193"/>
      <c r="AF322" s="193"/>
    </row>
    <row r="323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  <c r="AA323" s="193"/>
      <c r="AB323" s="193"/>
      <c r="AC323" s="193"/>
      <c r="AD323" s="193"/>
      <c r="AE323" s="193"/>
      <c r="AF323" s="193"/>
    </row>
    <row r="324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  <c r="AA324" s="193"/>
      <c r="AB324" s="193"/>
      <c r="AC324" s="193"/>
      <c r="AD324" s="193"/>
      <c r="AE324" s="193"/>
      <c r="AF324" s="193"/>
    </row>
    <row r="325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  <c r="AA325" s="193"/>
      <c r="AB325" s="193"/>
      <c r="AC325" s="193"/>
      <c r="AD325" s="193"/>
      <c r="AE325" s="193"/>
      <c r="AF325" s="193"/>
    </row>
    <row r="326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  <c r="AB326" s="193"/>
      <c r="AC326" s="193"/>
      <c r="AD326" s="193"/>
      <c r="AE326" s="193"/>
      <c r="AF326" s="193"/>
    </row>
    <row r="327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  <c r="AB327" s="193"/>
      <c r="AC327" s="193"/>
      <c r="AD327" s="193"/>
      <c r="AE327" s="193"/>
      <c r="AF327" s="193"/>
    </row>
    <row r="328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  <c r="AA328" s="193"/>
      <c r="AB328" s="193"/>
      <c r="AC328" s="193"/>
      <c r="AD328" s="193"/>
      <c r="AE328" s="193"/>
      <c r="AF328" s="193"/>
    </row>
    <row r="329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  <c r="AB329" s="193"/>
      <c r="AC329" s="193"/>
      <c r="AD329" s="193"/>
      <c r="AE329" s="193"/>
      <c r="AF329" s="193"/>
    </row>
    <row r="33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  <c r="AA330" s="193"/>
      <c r="AB330" s="193"/>
      <c r="AC330" s="193"/>
      <c r="AD330" s="193"/>
      <c r="AE330" s="193"/>
      <c r="AF330" s="193"/>
    </row>
    <row r="33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  <c r="AA331" s="193"/>
      <c r="AB331" s="193"/>
      <c r="AC331" s="193"/>
      <c r="AD331" s="193"/>
      <c r="AE331" s="193"/>
      <c r="AF331" s="193"/>
    </row>
    <row r="332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  <c r="AA332" s="193"/>
      <c r="AB332" s="193"/>
      <c r="AC332" s="193"/>
      <c r="AD332" s="193"/>
      <c r="AE332" s="193"/>
      <c r="AF332" s="193"/>
    </row>
    <row r="333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  <c r="AB333" s="193"/>
      <c r="AC333" s="193"/>
      <c r="AD333" s="193"/>
      <c r="AE333" s="193"/>
      <c r="AF333" s="193"/>
    </row>
    <row r="334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  <c r="AA334" s="193"/>
      <c r="AB334" s="193"/>
      <c r="AC334" s="193"/>
      <c r="AD334" s="193"/>
      <c r="AE334" s="193"/>
      <c r="AF334" s="193"/>
    </row>
    <row r="335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  <c r="AA335" s="193"/>
      <c r="AB335" s="193"/>
      <c r="AC335" s="193"/>
      <c r="AD335" s="193"/>
      <c r="AE335" s="193"/>
      <c r="AF335" s="193"/>
    </row>
    <row r="336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  <c r="AB336" s="193"/>
      <c r="AC336" s="193"/>
      <c r="AD336" s="193"/>
      <c r="AE336" s="193"/>
      <c r="AF336" s="193"/>
    </row>
    <row r="337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  <c r="AA337" s="193"/>
      <c r="AB337" s="193"/>
      <c r="AC337" s="193"/>
      <c r="AD337" s="193"/>
      <c r="AE337" s="193"/>
      <c r="AF337" s="193"/>
    </row>
    <row r="338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  <c r="AB338" s="193"/>
      <c r="AC338" s="193"/>
      <c r="AD338" s="193"/>
      <c r="AE338" s="193"/>
      <c r="AF338" s="193"/>
    </row>
    <row r="339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  <c r="AB339" s="193"/>
      <c r="AC339" s="193"/>
      <c r="AD339" s="193"/>
      <c r="AE339" s="193"/>
      <c r="AF339" s="193"/>
    </row>
    <row r="34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  <c r="AB340" s="193"/>
      <c r="AC340" s="193"/>
      <c r="AD340" s="193"/>
      <c r="AE340" s="193"/>
      <c r="AF340" s="193"/>
    </row>
    <row r="34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  <c r="AA341" s="193"/>
      <c r="AB341" s="193"/>
      <c r="AC341" s="193"/>
      <c r="AD341" s="193"/>
      <c r="AE341" s="193"/>
      <c r="AF341" s="193"/>
    </row>
    <row r="342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  <c r="AB342" s="193"/>
      <c r="AC342" s="193"/>
      <c r="AD342" s="193"/>
      <c r="AE342" s="193"/>
      <c r="AF342" s="193"/>
    </row>
    <row r="343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  <c r="AB343" s="193"/>
      <c r="AC343" s="193"/>
      <c r="AD343" s="193"/>
      <c r="AE343" s="193"/>
      <c r="AF343" s="193"/>
    </row>
    <row r="344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  <c r="AB344" s="193"/>
      <c r="AC344" s="193"/>
      <c r="AD344" s="193"/>
      <c r="AE344" s="193"/>
      <c r="AF344" s="193"/>
    </row>
    <row r="345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  <c r="AA345" s="193"/>
      <c r="AB345" s="193"/>
      <c r="AC345" s="193"/>
      <c r="AD345" s="193"/>
      <c r="AE345" s="193"/>
      <c r="AF345" s="193"/>
    </row>
    <row r="346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  <c r="AA346" s="193"/>
      <c r="AB346" s="193"/>
      <c r="AC346" s="193"/>
      <c r="AD346" s="193"/>
      <c r="AE346" s="193"/>
      <c r="AF346" s="193"/>
    </row>
    <row r="347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  <c r="AA347" s="193"/>
      <c r="AB347" s="193"/>
      <c r="AC347" s="193"/>
      <c r="AD347" s="193"/>
      <c r="AE347" s="193"/>
      <c r="AF347" s="193"/>
    </row>
    <row r="348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  <c r="AA348" s="193"/>
      <c r="AB348" s="193"/>
      <c r="AC348" s="193"/>
      <c r="AD348" s="193"/>
      <c r="AE348" s="193"/>
      <c r="AF348" s="193"/>
    </row>
    <row r="349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  <c r="AA349" s="193"/>
      <c r="AB349" s="193"/>
      <c r="AC349" s="193"/>
      <c r="AD349" s="193"/>
      <c r="AE349" s="193"/>
      <c r="AF349" s="193"/>
    </row>
    <row r="35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  <c r="AA350" s="193"/>
      <c r="AB350" s="193"/>
      <c r="AC350" s="193"/>
      <c r="AD350" s="193"/>
      <c r="AE350" s="193"/>
      <c r="AF350" s="193"/>
    </row>
    <row r="35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  <c r="AB351" s="193"/>
      <c r="AC351" s="193"/>
      <c r="AD351" s="193"/>
      <c r="AE351" s="193"/>
      <c r="AF351" s="193"/>
    </row>
    <row r="352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  <c r="AA352" s="193"/>
      <c r="AB352" s="193"/>
      <c r="AC352" s="193"/>
      <c r="AD352" s="193"/>
      <c r="AE352" s="193"/>
      <c r="AF352" s="193"/>
    </row>
    <row r="353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  <c r="AA353" s="193"/>
      <c r="AB353" s="193"/>
      <c r="AC353" s="193"/>
      <c r="AD353" s="193"/>
      <c r="AE353" s="193"/>
      <c r="AF353" s="193"/>
    </row>
    <row r="354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  <c r="AA354" s="193"/>
      <c r="AB354" s="193"/>
      <c r="AC354" s="193"/>
      <c r="AD354" s="193"/>
      <c r="AE354" s="193"/>
      <c r="AF354" s="193"/>
    </row>
    <row r="355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  <c r="AA355" s="193"/>
      <c r="AB355" s="193"/>
      <c r="AC355" s="193"/>
      <c r="AD355" s="193"/>
      <c r="AE355" s="193"/>
      <c r="AF355" s="193"/>
    </row>
    <row r="356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  <c r="AB356" s="193"/>
      <c r="AC356" s="193"/>
      <c r="AD356" s="193"/>
      <c r="AE356" s="193"/>
      <c r="AF356" s="193"/>
    </row>
    <row r="357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  <c r="AB357" s="193"/>
      <c r="AC357" s="193"/>
      <c r="AD357" s="193"/>
      <c r="AE357" s="193"/>
      <c r="AF357" s="193"/>
    </row>
    <row r="358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  <c r="AA358" s="193"/>
      <c r="AB358" s="193"/>
      <c r="AC358" s="193"/>
      <c r="AD358" s="193"/>
      <c r="AE358" s="193"/>
      <c r="AF358" s="193"/>
    </row>
    <row r="359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  <c r="AA359" s="193"/>
      <c r="AB359" s="193"/>
      <c r="AC359" s="193"/>
      <c r="AD359" s="193"/>
      <c r="AE359" s="193"/>
      <c r="AF359" s="193"/>
    </row>
    <row r="36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  <c r="AA360" s="193"/>
      <c r="AB360" s="193"/>
      <c r="AC360" s="193"/>
      <c r="AD360" s="193"/>
      <c r="AE360" s="193"/>
      <c r="AF360" s="193"/>
    </row>
    <row r="36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  <c r="AA361" s="193"/>
      <c r="AB361" s="193"/>
      <c r="AC361" s="193"/>
      <c r="AD361" s="193"/>
      <c r="AE361" s="193"/>
      <c r="AF361" s="193"/>
    </row>
    <row r="362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  <c r="AA362" s="193"/>
      <c r="AB362" s="193"/>
      <c r="AC362" s="193"/>
      <c r="AD362" s="193"/>
      <c r="AE362" s="193"/>
      <c r="AF362" s="193"/>
    </row>
    <row r="363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  <c r="AA363" s="193"/>
      <c r="AB363" s="193"/>
      <c r="AC363" s="193"/>
      <c r="AD363" s="193"/>
      <c r="AE363" s="193"/>
      <c r="AF363" s="193"/>
    </row>
    <row r="364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  <c r="AA364" s="193"/>
      <c r="AB364" s="193"/>
      <c r="AC364" s="193"/>
      <c r="AD364" s="193"/>
      <c r="AE364" s="193"/>
      <c r="AF364" s="193"/>
    </row>
    <row r="365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  <c r="AB365" s="193"/>
      <c r="AC365" s="193"/>
      <c r="AD365" s="193"/>
      <c r="AE365" s="193"/>
      <c r="AF365" s="193"/>
    </row>
    <row r="366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  <c r="AA366" s="193"/>
      <c r="AB366" s="193"/>
      <c r="AC366" s="193"/>
      <c r="AD366" s="193"/>
      <c r="AE366" s="193"/>
      <c r="AF366" s="193"/>
    </row>
    <row r="367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  <c r="AA367" s="193"/>
      <c r="AB367" s="193"/>
      <c r="AC367" s="193"/>
      <c r="AD367" s="193"/>
      <c r="AE367" s="193"/>
      <c r="AF367" s="193"/>
    </row>
    <row r="368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  <c r="AA368" s="193"/>
      <c r="AB368" s="193"/>
      <c r="AC368" s="193"/>
      <c r="AD368" s="193"/>
      <c r="AE368" s="193"/>
      <c r="AF368" s="193"/>
    </row>
    <row r="369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  <c r="AA369" s="193"/>
      <c r="AB369" s="193"/>
      <c r="AC369" s="193"/>
      <c r="AD369" s="193"/>
      <c r="AE369" s="193"/>
      <c r="AF369" s="193"/>
    </row>
    <row r="37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  <c r="AB370" s="193"/>
      <c r="AC370" s="193"/>
      <c r="AD370" s="193"/>
      <c r="AE370" s="193"/>
      <c r="AF370" s="193"/>
    </row>
    <row r="37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  <c r="AA371" s="193"/>
      <c r="AB371" s="193"/>
      <c r="AC371" s="193"/>
      <c r="AD371" s="193"/>
      <c r="AE371" s="193"/>
      <c r="AF371" s="193"/>
    </row>
    <row r="372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  <c r="AA372" s="193"/>
      <c r="AB372" s="193"/>
      <c r="AC372" s="193"/>
      <c r="AD372" s="193"/>
      <c r="AE372" s="193"/>
      <c r="AF372" s="193"/>
    </row>
    <row r="373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  <c r="AA373" s="193"/>
      <c r="AB373" s="193"/>
      <c r="AC373" s="193"/>
      <c r="AD373" s="193"/>
      <c r="AE373" s="193"/>
      <c r="AF373" s="193"/>
    </row>
    <row r="374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  <c r="AB374" s="193"/>
      <c r="AC374" s="193"/>
      <c r="AD374" s="193"/>
      <c r="AE374" s="193"/>
      <c r="AF374" s="193"/>
    </row>
    <row r="375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  <c r="AA375" s="193"/>
      <c r="AB375" s="193"/>
      <c r="AC375" s="193"/>
      <c r="AD375" s="193"/>
      <c r="AE375" s="193"/>
      <c r="AF375" s="193"/>
    </row>
    <row r="376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  <c r="AB376" s="193"/>
      <c r="AC376" s="193"/>
      <c r="AD376" s="193"/>
      <c r="AE376" s="193"/>
      <c r="AF376" s="193"/>
    </row>
    <row r="377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  <c r="AA377" s="193"/>
      <c r="AB377" s="193"/>
      <c r="AC377" s="193"/>
      <c r="AD377" s="193"/>
      <c r="AE377" s="193"/>
      <c r="AF377" s="193"/>
    </row>
    <row r="378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  <c r="AA378" s="193"/>
      <c r="AB378" s="193"/>
      <c r="AC378" s="193"/>
      <c r="AD378" s="193"/>
      <c r="AE378" s="193"/>
      <c r="AF378" s="193"/>
    </row>
    <row r="379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  <c r="AB379" s="193"/>
      <c r="AC379" s="193"/>
      <c r="AD379" s="193"/>
      <c r="AE379" s="193"/>
      <c r="AF379" s="193"/>
    </row>
    <row r="38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  <c r="AB380" s="193"/>
      <c r="AC380" s="193"/>
      <c r="AD380" s="193"/>
      <c r="AE380" s="193"/>
      <c r="AF380" s="193"/>
    </row>
    <row r="38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  <c r="AB381" s="193"/>
      <c r="AC381" s="193"/>
      <c r="AD381" s="193"/>
      <c r="AE381" s="193"/>
      <c r="AF381" s="193"/>
    </row>
    <row r="382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  <c r="AB382" s="193"/>
      <c r="AC382" s="193"/>
      <c r="AD382" s="193"/>
      <c r="AE382" s="193"/>
      <c r="AF382" s="193"/>
    </row>
    <row r="383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  <c r="AB383" s="193"/>
      <c r="AC383" s="193"/>
      <c r="AD383" s="193"/>
      <c r="AE383" s="193"/>
      <c r="AF383" s="193"/>
    </row>
    <row r="384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  <c r="AB384" s="193"/>
      <c r="AC384" s="193"/>
      <c r="AD384" s="193"/>
      <c r="AE384" s="193"/>
      <c r="AF384" s="193"/>
    </row>
    <row r="385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  <c r="AB385" s="193"/>
      <c r="AC385" s="193"/>
      <c r="AD385" s="193"/>
      <c r="AE385" s="193"/>
      <c r="AF385" s="193"/>
    </row>
    <row r="386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  <c r="AB386" s="193"/>
      <c r="AC386" s="193"/>
      <c r="AD386" s="193"/>
      <c r="AE386" s="193"/>
      <c r="AF386" s="193"/>
    </row>
    <row r="387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  <c r="AB387" s="193"/>
      <c r="AC387" s="193"/>
      <c r="AD387" s="193"/>
      <c r="AE387" s="193"/>
      <c r="AF387" s="193"/>
    </row>
    <row r="388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  <c r="AB388" s="193"/>
      <c r="AC388" s="193"/>
      <c r="AD388" s="193"/>
      <c r="AE388" s="193"/>
      <c r="AF388" s="193"/>
    </row>
    <row r="389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  <c r="AB389" s="193"/>
      <c r="AC389" s="193"/>
      <c r="AD389" s="193"/>
      <c r="AE389" s="193"/>
      <c r="AF389" s="193"/>
    </row>
    <row r="39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  <c r="AA390" s="193"/>
      <c r="AB390" s="193"/>
      <c r="AC390" s="193"/>
      <c r="AD390" s="193"/>
      <c r="AE390" s="193"/>
      <c r="AF390" s="193"/>
    </row>
    <row r="39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  <c r="AB391" s="193"/>
      <c r="AC391" s="193"/>
      <c r="AD391" s="193"/>
      <c r="AE391" s="193"/>
      <c r="AF391" s="193"/>
    </row>
    <row r="392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  <c r="AB392" s="193"/>
      <c r="AC392" s="193"/>
      <c r="AD392" s="193"/>
      <c r="AE392" s="193"/>
      <c r="AF392" s="193"/>
    </row>
    <row r="393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  <c r="AB393" s="193"/>
      <c r="AC393" s="193"/>
      <c r="AD393" s="193"/>
      <c r="AE393" s="193"/>
      <c r="AF393" s="193"/>
    </row>
    <row r="394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  <c r="AB394" s="193"/>
      <c r="AC394" s="193"/>
      <c r="AD394" s="193"/>
      <c r="AE394" s="193"/>
      <c r="AF394" s="193"/>
    </row>
    <row r="395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  <c r="AB395" s="193"/>
      <c r="AC395" s="193"/>
      <c r="AD395" s="193"/>
      <c r="AE395" s="193"/>
      <c r="AF395" s="193"/>
    </row>
    <row r="396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  <c r="AB396" s="193"/>
      <c r="AC396" s="193"/>
      <c r="AD396" s="193"/>
      <c r="AE396" s="193"/>
      <c r="AF396" s="193"/>
    </row>
    <row r="397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  <c r="AB397" s="193"/>
      <c r="AC397" s="193"/>
      <c r="AD397" s="193"/>
      <c r="AE397" s="193"/>
      <c r="AF397" s="193"/>
    </row>
    <row r="398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  <c r="AB398" s="193"/>
      <c r="AC398" s="193"/>
      <c r="AD398" s="193"/>
      <c r="AE398" s="193"/>
      <c r="AF398" s="193"/>
    </row>
    <row r="399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  <c r="AB399" s="193"/>
      <c r="AC399" s="193"/>
      <c r="AD399" s="193"/>
      <c r="AE399" s="193"/>
      <c r="AF399" s="193"/>
    </row>
    <row r="40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  <c r="AA400" s="193"/>
      <c r="AB400" s="193"/>
      <c r="AC400" s="193"/>
      <c r="AD400" s="193"/>
      <c r="AE400" s="193"/>
      <c r="AF400" s="193"/>
    </row>
    <row r="40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  <c r="AA401" s="193"/>
      <c r="AB401" s="193"/>
      <c r="AC401" s="193"/>
      <c r="AD401" s="193"/>
      <c r="AE401" s="193"/>
      <c r="AF401" s="193"/>
    </row>
    <row r="402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  <c r="AA402" s="193"/>
      <c r="AB402" s="193"/>
      <c r="AC402" s="193"/>
      <c r="AD402" s="193"/>
      <c r="AE402" s="193"/>
      <c r="AF402" s="193"/>
    </row>
    <row r="403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  <c r="AB403" s="193"/>
      <c r="AC403" s="193"/>
      <c r="AD403" s="193"/>
      <c r="AE403" s="193"/>
      <c r="AF403" s="193"/>
    </row>
    <row r="404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  <c r="AA404" s="193"/>
      <c r="AB404" s="193"/>
      <c r="AC404" s="193"/>
      <c r="AD404" s="193"/>
      <c r="AE404" s="193"/>
      <c r="AF404" s="193"/>
    </row>
    <row r="405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  <c r="AA405" s="193"/>
      <c r="AB405" s="193"/>
      <c r="AC405" s="193"/>
      <c r="AD405" s="193"/>
      <c r="AE405" s="193"/>
      <c r="AF405" s="193"/>
    </row>
    <row r="406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  <c r="AA406" s="193"/>
      <c r="AB406" s="193"/>
      <c r="AC406" s="193"/>
      <c r="AD406" s="193"/>
      <c r="AE406" s="193"/>
      <c r="AF406" s="193"/>
    </row>
    <row r="407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  <c r="AB407" s="193"/>
      <c r="AC407" s="193"/>
      <c r="AD407" s="193"/>
      <c r="AE407" s="193"/>
      <c r="AF407" s="193"/>
    </row>
    <row r="408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  <c r="AA408" s="193"/>
      <c r="AB408" s="193"/>
      <c r="AC408" s="193"/>
      <c r="AD408" s="193"/>
      <c r="AE408" s="193"/>
      <c r="AF408" s="193"/>
    </row>
    <row r="409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  <c r="AA409" s="193"/>
      <c r="AB409" s="193"/>
      <c r="AC409" s="193"/>
      <c r="AD409" s="193"/>
      <c r="AE409" s="193"/>
      <c r="AF409" s="193"/>
    </row>
    <row r="4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  <c r="AA410" s="193"/>
      <c r="AB410" s="193"/>
      <c r="AC410" s="193"/>
      <c r="AD410" s="193"/>
      <c r="AE410" s="193"/>
      <c r="AF410" s="193"/>
    </row>
    <row r="41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  <c r="AA411" s="193"/>
      <c r="AB411" s="193"/>
      <c r="AC411" s="193"/>
      <c r="AD411" s="193"/>
      <c r="AE411" s="193"/>
      <c r="AF411" s="193"/>
    </row>
    <row r="412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  <c r="AA412" s="193"/>
      <c r="AB412" s="193"/>
      <c r="AC412" s="193"/>
      <c r="AD412" s="193"/>
      <c r="AE412" s="193"/>
      <c r="AF412" s="193"/>
    </row>
    <row r="413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  <c r="AA413" s="193"/>
      <c r="AB413" s="193"/>
      <c r="AC413" s="193"/>
      <c r="AD413" s="193"/>
      <c r="AE413" s="193"/>
      <c r="AF413" s="193"/>
    </row>
    <row r="414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  <c r="AA414" s="193"/>
      <c r="AB414" s="193"/>
      <c r="AC414" s="193"/>
      <c r="AD414" s="193"/>
      <c r="AE414" s="193"/>
      <c r="AF414" s="193"/>
    </row>
    <row r="415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  <c r="AA415" s="193"/>
      <c r="AB415" s="193"/>
      <c r="AC415" s="193"/>
      <c r="AD415" s="193"/>
      <c r="AE415" s="193"/>
      <c r="AF415" s="193"/>
    </row>
    <row r="416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  <c r="AB416" s="193"/>
      <c r="AC416" s="193"/>
      <c r="AD416" s="193"/>
      <c r="AE416" s="193"/>
      <c r="AF416" s="193"/>
    </row>
    <row r="417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  <c r="AA417" s="193"/>
      <c r="AB417" s="193"/>
      <c r="AC417" s="193"/>
      <c r="AD417" s="193"/>
      <c r="AE417" s="193"/>
      <c r="AF417" s="193"/>
    </row>
    <row r="418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  <c r="AB418" s="193"/>
      <c r="AC418" s="193"/>
      <c r="AD418" s="193"/>
      <c r="AE418" s="193"/>
      <c r="AF418" s="193"/>
    </row>
    <row r="419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  <c r="AA419" s="193"/>
      <c r="AB419" s="193"/>
      <c r="AC419" s="193"/>
      <c r="AD419" s="193"/>
      <c r="AE419" s="193"/>
      <c r="AF419" s="193"/>
    </row>
    <row r="42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  <c r="AA420" s="193"/>
      <c r="AB420" s="193"/>
      <c r="AC420" s="193"/>
      <c r="AD420" s="193"/>
      <c r="AE420" s="193"/>
      <c r="AF420" s="193"/>
    </row>
    <row r="421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  <c r="AB421" s="193"/>
      <c r="AC421" s="193"/>
      <c r="AD421" s="193"/>
      <c r="AE421" s="193"/>
      <c r="AF421" s="193"/>
    </row>
    <row r="422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  <c r="AB422" s="193"/>
      <c r="AC422" s="193"/>
      <c r="AD422" s="193"/>
      <c r="AE422" s="193"/>
      <c r="AF422" s="193"/>
    </row>
    <row r="423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  <c r="AB423" s="193"/>
      <c r="AC423" s="193"/>
      <c r="AD423" s="193"/>
      <c r="AE423" s="193"/>
      <c r="AF423" s="193"/>
    </row>
    <row r="424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  <c r="AB424" s="193"/>
      <c r="AC424" s="193"/>
      <c r="AD424" s="193"/>
      <c r="AE424" s="193"/>
      <c r="AF424" s="193"/>
    </row>
    <row r="425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  <c r="AB425" s="193"/>
      <c r="AC425" s="193"/>
      <c r="AD425" s="193"/>
      <c r="AE425" s="193"/>
      <c r="AF425" s="193"/>
    </row>
    <row r="426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  <c r="AB426" s="193"/>
      <c r="AC426" s="193"/>
      <c r="AD426" s="193"/>
      <c r="AE426" s="193"/>
      <c r="AF426" s="193"/>
    </row>
    <row r="427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  <c r="AA427" s="193"/>
      <c r="AB427" s="193"/>
      <c r="AC427" s="193"/>
      <c r="AD427" s="193"/>
      <c r="AE427" s="193"/>
      <c r="AF427" s="193"/>
    </row>
    <row r="428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  <c r="AA428" s="193"/>
      <c r="AB428" s="193"/>
      <c r="AC428" s="193"/>
      <c r="AD428" s="193"/>
      <c r="AE428" s="193"/>
      <c r="AF428" s="193"/>
    </row>
    <row r="429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  <c r="AA429" s="193"/>
      <c r="AB429" s="193"/>
      <c r="AC429" s="193"/>
      <c r="AD429" s="193"/>
      <c r="AE429" s="193"/>
      <c r="AF429" s="193"/>
    </row>
    <row r="43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  <c r="AA430" s="193"/>
      <c r="AB430" s="193"/>
      <c r="AC430" s="193"/>
      <c r="AD430" s="193"/>
      <c r="AE430" s="193"/>
      <c r="AF430" s="193"/>
    </row>
    <row r="431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  <c r="AA431" s="193"/>
      <c r="AB431" s="193"/>
      <c r="AC431" s="193"/>
      <c r="AD431" s="193"/>
      <c r="AE431" s="193"/>
      <c r="AF431" s="193"/>
    </row>
    <row r="432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  <c r="AB432" s="193"/>
      <c r="AC432" s="193"/>
      <c r="AD432" s="193"/>
      <c r="AE432" s="193"/>
      <c r="AF432" s="193"/>
    </row>
    <row r="433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  <c r="AB433" s="193"/>
      <c r="AC433" s="193"/>
      <c r="AD433" s="193"/>
      <c r="AE433" s="193"/>
      <c r="AF433" s="193"/>
    </row>
    <row r="434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  <c r="AB434" s="193"/>
      <c r="AC434" s="193"/>
      <c r="AD434" s="193"/>
      <c r="AE434" s="193"/>
      <c r="AF434" s="193"/>
    </row>
    <row r="435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  <c r="AB435" s="193"/>
      <c r="AC435" s="193"/>
      <c r="AD435" s="193"/>
      <c r="AE435" s="193"/>
      <c r="AF435" s="193"/>
    </row>
    <row r="436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  <c r="AB436" s="193"/>
      <c r="AC436" s="193"/>
      <c r="AD436" s="193"/>
      <c r="AE436" s="193"/>
      <c r="AF436" s="193"/>
    </row>
    <row r="437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  <c r="AB437" s="193"/>
      <c r="AC437" s="193"/>
      <c r="AD437" s="193"/>
      <c r="AE437" s="193"/>
      <c r="AF437" s="193"/>
    </row>
    <row r="438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  <c r="AB438" s="193"/>
      <c r="AC438" s="193"/>
      <c r="AD438" s="193"/>
      <c r="AE438" s="193"/>
      <c r="AF438" s="193"/>
    </row>
    <row r="439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  <c r="AB439" s="193"/>
      <c r="AC439" s="193"/>
      <c r="AD439" s="193"/>
      <c r="AE439" s="193"/>
      <c r="AF439" s="193"/>
    </row>
    <row r="44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  <c r="AB440" s="193"/>
      <c r="AC440" s="193"/>
      <c r="AD440" s="193"/>
      <c r="AE440" s="193"/>
      <c r="AF440" s="193"/>
    </row>
    <row r="441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  <c r="AB441" s="193"/>
      <c r="AC441" s="193"/>
      <c r="AD441" s="193"/>
      <c r="AE441" s="193"/>
      <c r="AF441" s="193"/>
    </row>
    <row r="442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  <c r="AB442" s="193"/>
      <c r="AC442" s="193"/>
      <c r="AD442" s="193"/>
      <c r="AE442" s="193"/>
      <c r="AF442" s="193"/>
    </row>
    <row r="443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  <c r="AB443" s="193"/>
      <c r="AC443" s="193"/>
      <c r="AD443" s="193"/>
      <c r="AE443" s="193"/>
      <c r="AF443" s="193"/>
    </row>
    <row r="444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  <c r="AB444" s="193"/>
      <c r="AC444" s="193"/>
      <c r="AD444" s="193"/>
      <c r="AE444" s="193"/>
      <c r="AF444" s="193"/>
    </row>
    <row r="445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  <c r="AB445" s="193"/>
      <c r="AC445" s="193"/>
      <c r="AD445" s="193"/>
      <c r="AE445" s="193"/>
      <c r="AF445" s="193"/>
    </row>
    <row r="446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  <c r="AB446" s="193"/>
      <c r="AC446" s="193"/>
      <c r="AD446" s="193"/>
      <c r="AE446" s="193"/>
      <c r="AF446" s="193"/>
    </row>
    <row r="447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  <c r="AB447" s="193"/>
      <c r="AC447" s="193"/>
      <c r="AD447" s="193"/>
      <c r="AE447" s="193"/>
      <c r="AF447" s="193"/>
    </row>
    <row r="448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  <c r="AB448" s="193"/>
      <c r="AC448" s="193"/>
      <c r="AD448" s="193"/>
      <c r="AE448" s="193"/>
      <c r="AF448" s="193"/>
    </row>
    <row r="449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  <c r="AB449" s="193"/>
      <c r="AC449" s="193"/>
      <c r="AD449" s="193"/>
      <c r="AE449" s="193"/>
      <c r="AF449" s="193"/>
    </row>
    <row r="45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  <c r="AB450" s="193"/>
      <c r="AC450" s="193"/>
      <c r="AD450" s="193"/>
      <c r="AE450" s="193"/>
      <c r="AF450" s="193"/>
    </row>
    <row r="451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  <c r="AB451" s="193"/>
      <c r="AC451" s="193"/>
      <c r="AD451" s="193"/>
      <c r="AE451" s="193"/>
      <c r="AF451" s="193"/>
    </row>
    <row r="452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  <c r="AB452" s="193"/>
      <c r="AC452" s="193"/>
      <c r="AD452" s="193"/>
      <c r="AE452" s="193"/>
      <c r="AF452" s="193"/>
    </row>
    <row r="453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  <c r="AB453" s="193"/>
      <c r="AC453" s="193"/>
      <c r="AD453" s="193"/>
      <c r="AE453" s="193"/>
      <c r="AF453" s="193"/>
    </row>
    <row r="454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  <c r="AB454" s="193"/>
      <c r="AC454" s="193"/>
      <c r="AD454" s="193"/>
      <c r="AE454" s="193"/>
      <c r="AF454" s="193"/>
    </row>
    <row r="455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  <c r="AB455" s="193"/>
      <c r="AC455" s="193"/>
      <c r="AD455" s="193"/>
      <c r="AE455" s="193"/>
      <c r="AF455" s="193"/>
    </row>
    <row r="456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  <c r="AB456" s="193"/>
      <c r="AC456" s="193"/>
      <c r="AD456" s="193"/>
      <c r="AE456" s="193"/>
      <c r="AF456" s="193"/>
    </row>
    <row r="457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  <c r="AB457" s="193"/>
      <c r="AC457" s="193"/>
      <c r="AD457" s="193"/>
      <c r="AE457" s="193"/>
      <c r="AF457" s="193"/>
    </row>
    <row r="458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  <c r="AB458" s="193"/>
      <c r="AC458" s="193"/>
      <c r="AD458" s="193"/>
      <c r="AE458" s="193"/>
      <c r="AF458" s="193"/>
    </row>
    <row r="459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  <c r="AB459" s="193"/>
      <c r="AC459" s="193"/>
      <c r="AD459" s="193"/>
      <c r="AE459" s="193"/>
      <c r="AF459" s="193"/>
    </row>
    <row r="46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  <c r="AB460" s="193"/>
      <c r="AC460" s="193"/>
      <c r="AD460" s="193"/>
      <c r="AE460" s="193"/>
      <c r="AF460" s="193"/>
    </row>
    <row r="461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  <c r="AB461" s="193"/>
      <c r="AC461" s="193"/>
      <c r="AD461" s="193"/>
      <c r="AE461" s="193"/>
      <c r="AF461" s="193"/>
    </row>
    <row r="462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  <c r="AB462" s="193"/>
      <c r="AC462" s="193"/>
      <c r="AD462" s="193"/>
      <c r="AE462" s="193"/>
      <c r="AF462" s="193"/>
    </row>
    <row r="463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  <c r="AB463" s="193"/>
      <c r="AC463" s="193"/>
      <c r="AD463" s="193"/>
      <c r="AE463" s="193"/>
      <c r="AF463" s="193"/>
    </row>
    <row r="464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  <c r="AB464" s="193"/>
      <c r="AC464" s="193"/>
      <c r="AD464" s="193"/>
      <c r="AE464" s="193"/>
      <c r="AF464" s="193"/>
    </row>
    <row r="465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  <c r="AB465" s="193"/>
      <c r="AC465" s="193"/>
      <c r="AD465" s="193"/>
      <c r="AE465" s="193"/>
      <c r="AF465" s="193"/>
    </row>
    <row r="466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  <c r="AB466" s="193"/>
      <c r="AC466" s="193"/>
      <c r="AD466" s="193"/>
      <c r="AE466" s="193"/>
      <c r="AF466" s="193"/>
    </row>
    <row r="467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  <c r="AB467" s="193"/>
      <c r="AC467" s="193"/>
      <c r="AD467" s="193"/>
      <c r="AE467" s="193"/>
      <c r="AF467" s="193"/>
    </row>
    <row r="468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  <c r="AB468" s="193"/>
      <c r="AC468" s="193"/>
      <c r="AD468" s="193"/>
      <c r="AE468" s="193"/>
      <c r="AF468" s="193"/>
    </row>
    <row r="469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  <c r="AB469" s="193"/>
      <c r="AC469" s="193"/>
      <c r="AD469" s="193"/>
      <c r="AE469" s="193"/>
      <c r="AF469" s="193"/>
    </row>
    <row r="47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  <c r="AB470" s="193"/>
      <c r="AC470" s="193"/>
      <c r="AD470" s="193"/>
      <c r="AE470" s="193"/>
      <c r="AF470" s="193"/>
    </row>
    <row r="471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  <c r="AB471" s="193"/>
      <c r="AC471" s="193"/>
      <c r="AD471" s="193"/>
      <c r="AE471" s="193"/>
      <c r="AF471" s="193"/>
    </row>
    <row r="472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  <c r="AB472" s="193"/>
      <c r="AC472" s="193"/>
      <c r="AD472" s="193"/>
      <c r="AE472" s="193"/>
      <c r="AF472" s="193"/>
    </row>
    <row r="473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  <c r="AB473" s="193"/>
      <c r="AC473" s="193"/>
      <c r="AD473" s="193"/>
      <c r="AE473" s="193"/>
      <c r="AF473" s="193"/>
    </row>
    <row r="474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  <c r="AB474" s="193"/>
      <c r="AC474" s="193"/>
      <c r="AD474" s="193"/>
      <c r="AE474" s="193"/>
      <c r="AF474" s="193"/>
    </row>
    <row r="475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  <c r="AB475" s="193"/>
      <c r="AC475" s="193"/>
      <c r="AD475" s="193"/>
      <c r="AE475" s="193"/>
      <c r="AF475" s="193"/>
    </row>
    <row r="476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  <c r="AB476" s="193"/>
      <c r="AC476" s="193"/>
      <c r="AD476" s="193"/>
      <c r="AE476" s="193"/>
      <c r="AF476" s="193"/>
    </row>
    <row r="477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  <c r="AB477" s="193"/>
      <c r="AC477" s="193"/>
      <c r="AD477" s="193"/>
      <c r="AE477" s="193"/>
      <c r="AF477" s="193"/>
    </row>
    <row r="478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  <c r="AB478" s="193"/>
      <c r="AC478" s="193"/>
      <c r="AD478" s="193"/>
      <c r="AE478" s="193"/>
      <c r="AF478" s="193"/>
    </row>
    <row r="479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  <c r="AB479" s="193"/>
      <c r="AC479" s="193"/>
      <c r="AD479" s="193"/>
      <c r="AE479" s="193"/>
      <c r="AF479" s="193"/>
    </row>
    <row r="48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  <c r="AB480" s="193"/>
      <c r="AC480" s="193"/>
      <c r="AD480" s="193"/>
      <c r="AE480" s="193"/>
      <c r="AF480" s="193"/>
    </row>
    <row r="48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  <c r="AB481" s="193"/>
      <c r="AC481" s="193"/>
      <c r="AD481" s="193"/>
      <c r="AE481" s="193"/>
      <c r="AF481" s="193"/>
    </row>
    <row r="482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  <c r="AB482" s="193"/>
      <c r="AC482" s="193"/>
      <c r="AD482" s="193"/>
      <c r="AE482" s="193"/>
      <c r="AF482" s="193"/>
    </row>
    <row r="483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  <c r="AB483" s="193"/>
      <c r="AC483" s="193"/>
      <c r="AD483" s="193"/>
      <c r="AE483" s="193"/>
      <c r="AF483" s="193"/>
    </row>
    <row r="484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  <c r="AB484" s="193"/>
      <c r="AC484" s="193"/>
      <c r="AD484" s="193"/>
      <c r="AE484" s="193"/>
      <c r="AF484" s="193"/>
    </row>
    <row r="485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  <c r="AB485" s="193"/>
      <c r="AC485" s="193"/>
      <c r="AD485" s="193"/>
      <c r="AE485" s="193"/>
      <c r="AF485" s="193"/>
    </row>
    <row r="486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  <c r="AB486" s="193"/>
      <c r="AC486" s="193"/>
      <c r="AD486" s="193"/>
      <c r="AE486" s="193"/>
      <c r="AF486" s="193"/>
    </row>
    <row r="487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  <c r="AB487" s="193"/>
      <c r="AC487" s="193"/>
      <c r="AD487" s="193"/>
      <c r="AE487" s="193"/>
      <c r="AF487" s="193"/>
    </row>
    <row r="488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  <c r="AB488" s="193"/>
      <c r="AC488" s="193"/>
      <c r="AD488" s="193"/>
      <c r="AE488" s="193"/>
      <c r="AF488" s="193"/>
    </row>
    <row r="489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  <c r="AB489" s="193"/>
      <c r="AC489" s="193"/>
      <c r="AD489" s="193"/>
      <c r="AE489" s="193"/>
      <c r="AF489" s="193"/>
    </row>
    <row r="49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  <c r="AB490" s="193"/>
      <c r="AC490" s="193"/>
      <c r="AD490" s="193"/>
      <c r="AE490" s="193"/>
      <c r="AF490" s="193"/>
    </row>
    <row r="49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  <c r="AB491" s="193"/>
      <c r="AC491" s="193"/>
      <c r="AD491" s="193"/>
      <c r="AE491" s="193"/>
      <c r="AF491" s="193"/>
    </row>
    <row r="492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  <c r="AB492" s="193"/>
      <c r="AC492" s="193"/>
      <c r="AD492" s="193"/>
      <c r="AE492" s="193"/>
      <c r="AF492" s="193"/>
    </row>
    <row r="493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  <c r="AB493" s="193"/>
      <c r="AC493" s="193"/>
      <c r="AD493" s="193"/>
      <c r="AE493" s="193"/>
      <c r="AF493" s="193"/>
    </row>
    <row r="494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  <c r="AB494" s="193"/>
      <c r="AC494" s="193"/>
      <c r="AD494" s="193"/>
      <c r="AE494" s="193"/>
      <c r="AF494" s="193"/>
    </row>
    <row r="495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  <c r="AB495" s="193"/>
      <c r="AC495" s="193"/>
      <c r="AD495" s="193"/>
      <c r="AE495" s="193"/>
      <c r="AF495" s="193"/>
    </row>
    <row r="496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  <c r="AB496" s="193"/>
      <c r="AC496" s="193"/>
      <c r="AD496" s="193"/>
      <c r="AE496" s="193"/>
      <c r="AF496" s="193"/>
    </row>
    <row r="497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  <c r="AB497" s="193"/>
      <c r="AC497" s="193"/>
      <c r="AD497" s="193"/>
      <c r="AE497" s="193"/>
      <c r="AF497" s="193"/>
    </row>
    <row r="498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  <c r="AB498" s="193"/>
      <c r="AC498" s="193"/>
      <c r="AD498" s="193"/>
      <c r="AE498" s="193"/>
      <c r="AF498" s="193"/>
    </row>
    <row r="499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  <c r="AB499" s="193"/>
      <c r="AC499" s="193"/>
      <c r="AD499" s="193"/>
      <c r="AE499" s="193"/>
      <c r="AF499" s="193"/>
    </row>
    <row r="50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  <c r="AB500" s="193"/>
      <c r="AC500" s="193"/>
      <c r="AD500" s="193"/>
      <c r="AE500" s="193"/>
      <c r="AF500" s="193"/>
    </row>
    <row r="50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  <c r="AB501" s="193"/>
      <c r="AC501" s="193"/>
      <c r="AD501" s="193"/>
      <c r="AE501" s="193"/>
      <c r="AF501" s="193"/>
    </row>
    <row r="502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  <c r="AB502" s="193"/>
      <c r="AC502" s="193"/>
      <c r="AD502" s="193"/>
      <c r="AE502" s="193"/>
      <c r="AF502" s="193"/>
    </row>
    <row r="503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  <c r="AB503" s="193"/>
      <c r="AC503" s="193"/>
      <c r="AD503" s="193"/>
      <c r="AE503" s="193"/>
      <c r="AF503" s="193"/>
    </row>
    <row r="504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  <c r="AB504" s="193"/>
      <c r="AC504" s="193"/>
      <c r="AD504" s="193"/>
      <c r="AE504" s="193"/>
      <c r="AF504" s="193"/>
    </row>
    <row r="505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  <c r="AB505" s="193"/>
      <c r="AC505" s="193"/>
      <c r="AD505" s="193"/>
      <c r="AE505" s="193"/>
      <c r="AF505" s="193"/>
    </row>
    <row r="506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  <c r="AB506" s="193"/>
      <c r="AC506" s="193"/>
      <c r="AD506" s="193"/>
      <c r="AE506" s="193"/>
      <c r="AF506" s="193"/>
    </row>
    <row r="507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  <c r="AB507" s="193"/>
      <c r="AC507" s="193"/>
      <c r="AD507" s="193"/>
      <c r="AE507" s="193"/>
      <c r="AF507" s="193"/>
    </row>
    <row r="508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  <c r="AB508" s="193"/>
      <c r="AC508" s="193"/>
      <c r="AD508" s="193"/>
      <c r="AE508" s="193"/>
      <c r="AF508" s="193"/>
    </row>
    <row r="509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  <c r="AB509" s="193"/>
      <c r="AC509" s="193"/>
      <c r="AD509" s="193"/>
      <c r="AE509" s="193"/>
      <c r="AF509" s="193"/>
    </row>
    <row r="5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  <c r="AB510" s="193"/>
      <c r="AC510" s="193"/>
      <c r="AD510" s="193"/>
      <c r="AE510" s="193"/>
      <c r="AF510" s="193"/>
    </row>
    <row r="51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  <c r="AB511" s="193"/>
      <c r="AC511" s="193"/>
      <c r="AD511" s="193"/>
      <c r="AE511" s="193"/>
      <c r="AF511" s="193"/>
    </row>
    <row r="512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  <c r="AB512" s="193"/>
      <c r="AC512" s="193"/>
      <c r="AD512" s="193"/>
      <c r="AE512" s="193"/>
      <c r="AF512" s="193"/>
    </row>
    <row r="513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  <c r="AA513" s="193"/>
      <c r="AB513" s="193"/>
      <c r="AC513" s="193"/>
      <c r="AD513" s="193"/>
      <c r="AE513" s="193"/>
      <c r="AF513" s="193"/>
    </row>
    <row r="514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  <c r="AA514" s="193"/>
      <c r="AB514" s="193"/>
      <c r="AC514" s="193"/>
      <c r="AD514" s="193"/>
      <c r="AE514" s="193"/>
      <c r="AF514" s="193"/>
    </row>
    <row r="515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  <c r="AA515" s="193"/>
      <c r="AB515" s="193"/>
      <c r="AC515" s="193"/>
      <c r="AD515" s="193"/>
      <c r="AE515" s="193"/>
      <c r="AF515" s="193"/>
    </row>
    <row r="516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  <c r="AA516" s="193"/>
      <c r="AB516" s="193"/>
      <c r="AC516" s="193"/>
      <c r="AD516" s="193"/>
      <c r="AE516" s="193"/>
      <c r="AF516" s="193"/>
    </row>
    <row r="517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  <c r="AA517" s="193"/>
      <c r="AB517" s="193"/>
      <c r="AC517" s="193"/>
      <c r="AD517" s="193"/>
      <c r="AE517" s="193"/>
      <c r="AF517" s="193"/>
    </row>
    <row r="518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  <c r="AA518" s="193"/>
      <c r="AB518" s="193"/>
      <c r="AC518" s="193"/>
      <c r="AD518" s="193"/>
      <c r="AE518" s="193"/>
      <c r="AF518" s="193"/>
    </row>
    <row r="519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  <c r="AA519" s="193"/>
      <c r="AB519" s="193"/>
      <c r="AC519" s="193"/>
      <c r="AD519" s="193"/>
      <c r="AE519" s="193"/>
      <c r="AF519" s="193"/>
    </row>
    <row r="52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  <c r="AA520" s="193"/>
      <c r="AB520" s="193"/>
      <c r="AC520" s="193"/>
      <c r="AD520" s="193"/>
      <c r="AE520" s="193"/>
      <c r="AF520" s="193"/>
    </row>
    <row r="52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  <c r="AA521" s="193"/>
      <c r="AB521" s="193"/>
      <c r="AC521" s="193"/>
      <c r="AD521" s="193"/>
      <c r="AE521" s="193"/>
      <c r="AF521" s="193"/>
    </row>
    <row r="522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  <c r="AA522" s="193"/>
      <c r="AB522" s="193"/>
      <c r="AC522" s="193"/>
      <c r="AD522" s="193"/>
      <c r="AE522" s="193"/>
      <c r="AF522" s="193"/>
    </row>
    <row r="523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  <c r="AA523" s="193"/>
      <c r="AB523" s="193"/>
      <c r="AC523" s="193"/>
      <c r="AD523" s="193"/>
      <c r="AE523" s="193"/>
      <c r="AF523" s="193"/>
    </row>
    <row r="524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  <c r="AA524" s="193"/>
      <c r="AB524" s="193"/>
      <c r="AC524" s="193"/>
      <c r="AD524" s="193"/>
      <c r="AE524" s="193"/>
      <c r="AF524" s="193"/>
    </row>
    <row r="525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  <c r="AA525" s="193"/>
      <c r="AB525" s="193"/>
      <c r="AC525" s="193"/>
      <c r="AD525" s="193"/>
      <c r="AE525" s="193"/>
      <c r="AF525" s="193"/>
    </row>
    <row r="526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  <c r="AA526" s="193"/>
      <c r="AB526" s="193"/>
      <c r="AC526" s="193"/>
      <c r="AD526" s="193"/>
      <c r="AE526" s="193"/>
      <c r="AF526" s="193"/>
    </row>
    <row r="527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  <c r="AA527" s="193"/>
      <c r="AB527" s="193"/>
      <c r="AC527" s="193"/>
      <c r="AD527" s="193"/>
      <c r="AE527" s="193"/>
      <c r="AF527" s="193"/>
    </row>
    <row r="528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  <c r="AA528" s="193"/>
      <c r="AB528" s="193"/>
      <c r="AC528" s="193"/>
      <c r="AD528" s="193"/>
      <c r="AE528" s="193"/>
      <c r="AF528" s="193"/>
    </row>
    <row r="529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  <c r="AB529" s="193"/>
      <c r="AC529" s="193"/>
      <c r="AD529" s="193"/>
      <c r="AE529" s="193"/>
      <c r="AF529" s="193"/>
    </row>
    <row r="53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  <c r="AB530" s="193"/>
      <c r="AC530" s="193"/>
      <c r="AD530" s="193"/>
      <c r="AE530" s="193"/>
      <c r="AF530" s="193"/>
    </row>
    <row r="53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  <c r="AB531" s="193"/>
      <c r="AC531" s="193"/>
      <c r="AD531" s="193"/>
      <c r="AE531" s="193"/>
      <c r="AF531" s="193"/>
    </row>
    <row r="532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  <c r="AA532" s="193"/>
      <c r="AB532" s="193"/>
      <c r="AC532" s="193"/>
      <c r="AD532" s="193"/>
      <c r="AE532" s="193"/>
      <c r="AF532" s="193"/>
    </row>
    <row r="533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  <c r="AA533" s="193"/>
      <c r="AB533" s="193"/>
      <c r="AC533" s="193"/>
      <c r="AD533" s="193"/>
      <c r="AE533" s="193"/>
      <c r="AF533" s="193"/>
    </row>
    <row r="534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  <c r="AA534" s="193"/>
      <c r="AB534" s="193"/>
      <c r="AC534" s="193"/>
      <c r="AD534" s="193"/>
      <c r="AE534" s="193"/>
      <c r="AF534" s="193"/>
    </row>
    <row r="535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  <c r="AA535" s="193"/>
      <c r="AB535" s="193"/>
      <c r="AC535" s="193"/>
      <c r="AD535" s="193"/>
      <c r="AE535" s="193"/>
      <c r="AF535" s="193"/>
    </row>
    <row r="536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  <c r="AA536" s="193"/>
      <c r="AB536" s="193"/>
      <c r="AC536" s="193"/>
      <c r="AD536" s="193"/>
      <c r="AE536" s="193"/>
      <c r="AF536" s="193"/>
    </row>
    <row r="537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  <c r="AA537" s="193"/>
      <c r="AB537" s="193"/>
      <c r="AC537" s="193"/>
      <c r="AD537" s="193"/>
      <c r="AE537" s="193"/>
      <c r="AF537" s="193"/>
    </row>
    <row r="538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  <c r="AA538" s="193"/>
      <c r="AB538" s="193"/>
      <c r="AC538" s="193"/>
      <c r="AD538" s="193"/>
      <c r="AE538" s="193"/>
      <c r="AF538" s="193"/>
    </row>
    <row r="539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  <c r="AA539" s="193"/>
      <c r="AB539" s="193"/>
      <c r="AC539" s="193"/>
      <c r="AD539" s="193"/>
      <c r="AE539" s="193"/>
      <c r="AF539" s="193"/>
    </row>
    <row r="54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  <c r="AA540" s="193"/>
      <c r="AB540" s="193"/>
      <c r="AC540" s="193"/>
      <c r="AD540" s="193"/>
      <c r="AE540" s="193"/>
      <c r="AF540" s="193"/>
    </row>
    <row r="54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  <c r="AB541" s="193"/>
      <c r="AC541" s="193"/>
      <c r="AD541" s="193"/>
      <c r="AE541" s="193"/>
      <c r="AF541" s="193"/>
    </row>
    <row r="542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  <c r="AA542" s="193"/>
      <c r="AB542" s="193"/>
      <c r="AC542" s="193"/>
      <c r="AD542" s="193"/>
      <c r="AE542" s="193"/>
      <c r="AF542" s="193"/>
    </row>
    <row r="543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  <c r="AA543" s="193"/>
      <c r="AB543" s="193"/>
      <c r="AC543" s="193"/>
      <c r="AD543" s="193"/>
      <c r="AE543" s="193"/>
      <c r="AF543" s="193"/>
    </row>
    <row r="544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  <c r="AA544" s="193"/>
      <c r="AB544" s="193"/>
      <c r="AC544" s="193"/>
      <c r="AD544" s="193"/>
      <c r="AE544" s="193"/>
      <c r="AF544" s="193"/>
    </row>
    <row r="545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  <c r="AA545" s="193"/>
      <c r="AB545" s="193"/>
      <c r="AC545" s="193"/>
      <c r="AD545" s="193"/>
      <c r="AE545" s="193"/>
      <c r="AF545" s="193"/>
    </row>
    <row r="546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3"/>
      <c r="AB546" s="193"/>
      <c r="AC546" s="193"/>
      <c r="AD546" s="193"/>
      <c r="AE546" s="193"/>
      <c r="AF546" s="193"/>
    </row>
    <row r="547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  <c r="AA547" s="193"/>
      <c r="AB547" s="193"/>
      <c r="AC547" s="193"/>
      <c r="AD547" s="193"/>
      <c r="AE547" s="193"/>
      <c r="AF547" s="193"/>
    </row>
    <row r="548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  <c r="AA548" s="193"/>
      <c r="AB548" s="193"/>
      <c r="AC548" s="193"/>
      <c r="AD548" s="193"/>
      <c r="AE548" s="193"/>
      <c r="AF548" s="193"/>
    </row>
    <row r="549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  <c r="AA549" s="193"/>
      <c r="AB549" s="193"/>
      <c r="AC549" s="193"/>
      <c r="AD549" s="193"/>
      <c r="AE549" s="193"/>
      <c r="AF549" s="193"/>
    </row>
    <row r="55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  <c r="AA550" s="193"/>
      <c r="AB550" s="193"/>
      <c r="AC550" s="193"/>
      <c r="AD550" s="193"/>
      <c r="AE550" s="193"/>
      <c r="AF550" s="193"/>
    </row>
    <row r="55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  <c r="AA551" s="193"/>
      <c r="AB551" s="193"/>
      <c r="AC551" s="193"/>
      <c r="AD551" s="193"/>
      <c r="AE551" s="193"/>
      <c r="AF551" s="193"/>
    </row>
    <row r="552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  <c r="AA552" s="193"/>
      <c r="AB552" s="193"/>
      <c r="AC552" s="193"/>
      <c r="AD552" s="193"/>
      <c r="AE552" s="193"/>
      <c r="AF552" s="193"/>
    </row>
    <row r="553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  <c r="AA553" s="193"/>
      <c r="AB553" s="193"/>
      <c r="AC553" s="193"/>
      <c r="AD553" s="193"/>
      <c r="AE553" s="193"/>
      <c r="AF553" s="193"/>
    </row>
    <row r="554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  <c r="AA554" s="193"/>
      <c r="AB554" s="193"/>
      <c r="AC554" s="193"/>
      <c r="AD554" s="193"/>
      <c r="AE554" s="193"/>
      <c r="AF554" s="193"/>
    </row>
    <row r="555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  <c r="AA555" s="193"/>
      <c r="AB555" s="193"/>
      <c r="AC555" s="193"/>
      <c r="AD555" s="193"/>
      <c r="AE555" s="193"/>
      <c r="AF555" s="193"/>
    </row>
    <row r="556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  <c r="AA556" s="193"/>
      <c r="AB556" s="193"/>
      <c r="AC556" s="193"/>
      <c r="AD556" s="193"/>
      <c r="AE556" s="193"/>
      <c r="AF556" s="193"/>
    </row>
    <row r="557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  <c r="AA557" s="193"/>
      <c r="AB557" s="193"/>
      <c r="AC557" s="193"/>
      <c r="AD557" s="193"/>
      <c r="AE557" s="193"/>
      <c r="AF557" s="193"/>
    </row>
    <row r="558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  <c r="AB558" s="193"/>
      <c r="AC558" s="193"/>
      <c r="AD558" s="193"/>
      <c r="AE558" s="193"/>
      <c r="AF558" s="193"/>
    </row>
    <row r="559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  <c r="AA559" s="193"/>
      <c r="AB559" s="193"/>
      <c r="AC559" s="193"/>
      <c r="AD559" s="193"/>
      <c r="AE559" s="193"/>
      <c r="AF559" s="193"/>
    </row>
    <row r="56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  <c r="AA560" s="193"/>
      <c r="AB560" s="193"/>
      <c r="AC560" s="193"/>
      <c r="AD560" s="193"/>
      <c r="AE560" s="193"/>
      <c r="AF560" s="193"/>
    </row>
    <row r="56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  <c r="AA561" s="193"/>
      <c r="AB561" s="193"/>
      <c r="AC561" s="193"/>
      <c r="AD561" s="193"/>
      <c r="AE561" s="193"/>
      <c r="AF561" s="193"/>
    </row>
    <row r="562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  <c r="AA562" s="193"/>
      <c r="AB562" s="193"/>
      <c r="AC562" s="193"/>
      <c r="AD562" s="193"/>
      <c r="AE562" s="193"/>
      <c r="AF562" s="193"/>
    </row>
    <row r="563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  <c r="AA563" s="193"/>
      <c r="AB563" s="193"/>
      <c r="AC563" s="193"/>
      <c r="AD563" s="193"/>
      <c r="AE563" s="193"/>
      <c r="AF563" s="193"/>
    </row>
    <row r="564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  <c r="AA564" s="193"/>
      <c r="AB564" s="193"/>
      <c r="AC564" s="193"/>
      <c r="AD564" s="193"/>
      <c r="AE564" s="193"/>
      <c r="AF564" s="193"/>
    </row>
    <row r="565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  <c r="AA565" s="193"/>
      <c r="AB565" s="193"/>
      <c r="AC565" s="193"/>
      <c r="AD565" s="193"/>
      <c r="AE565" s="193"/>
      <c r="AF565" s="193"/>
    </row>
    <row r="566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  <c r="AB566" s="193"/>
      <c r="AC566" s="193"/>
      <c r="AD566" s="193"/>
      <c r="AE566" s="193"/>
      <c r="AF566" s="193"/>
    </row>
    <row r="567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  <c r="AB567" s="193"/>
      <c r="AC567" s="193"/>
      <c r="AD567" s="193"/>
      <c r="AE567" s="193"/>
      <c r="AF567" s="193"/>
    </row>
    <row r="568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  <c r="AB568" s="193"/>
      <c r="AC568" s="193"/>
      <c r="AD568" s="193"/>
      <c r="AE568" s="193"/>
      <c r="AF568" s="193"/>
    </row>
    <row r="569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  <c r="AA569" s="193"/>
      <c r="AB569" s="193"/>
      <c r="AC569" s="193"/>
      <c r="AD569" s="193"/>
      <c r="AE569" s="193"/>
      <c r="AF569" s="193"/>
    </row>
    <row r="57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  <c r="AA570" s="193"/>
      <c r="AB570" s="193"/>
      <c r="AC570" s="193"/>
      <c r="AD570" s="193"/>
      <c r="AE570" s="193"/>
      <c r="AF570" s="193"/>
    </row>
    <row r="57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  <c r="AA571" s="193"/>
      <c r="AB571" s="193"/>
      <c r="AC571" s="193"/>
      <c r="AD571" s="193"/>
      <c r="AE571" s="193"/>
      <c r="AF571" s="193"/>
    </row>
    <row r="572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  <c r="AA572" s="193"/>
      <c r="AB572" s="193"/>
      <c r="AC572" s="193"/>
      <c r="AD572" s="193"/>
      <c r="AE572" s="193"/>
      <c r="AF572" s="193"/>
    </row>
    <row r="573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  <c r="AA573" s="193"/>
      <c r="AB573" s="193"/>
      <c r="AC573" s="193"/>
      <c r="AD573" s="193"/>
      <c r="AE573" s="193"/>
      <c r="AF573" s="193"/>
    </row>
    <row r="574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  <c r="AA574" s="193"/>
      <c r="AB574" s="193"/>
      <c r="AC574" s="193"/>
      <c r="AD574" s="193"/>
      <c r="AE574" s="193"/>
      <c r="AF574" s="193"/>
    </row>
    <row r="575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  <c r="AA575" s="193"/>
      <c r="AB575" s="193"/>
      <c r="AC575" s="193"/>
      <c r="AD575" s="193"/>
      <c r="AE575" s="193"/>
      <c r="AF575" s="193"/>
    </row>
    <row r="576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  <c r="AA576" s="193"/>
      <c r="AB576" s="193"/>
      <c r="AC576" s="193"/>
      <c r="AD576" s="193"/>
      <c r="AE576" s="193"/>
      <c r="AF576" s="193"/>
    </row>
    <row r="577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  <c r="AA577" s="193"/>
      <c r="AB577" s="193"/>
      <c r="AC577" s="193"/>
      <c r="AD577" s="193"/>
      <c r="AE577" s="193"/>
      <c r="AF577" s="193"/>
    </row>
    <row r="578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  <c r="AA578" s="193"/>
      <c r="AB578" s="193"/>
      <c r="AC578" s="193"/>
      <c r="AD578" s="193"/>
      <c r="AE578" s="193"/>
      <c r="AF578" s="193"/>
    </row>
    <row r="579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  <c r="AA579" s="193"/>
      <c r="AB579" s="193"/>
      <c r="AC579" s="193"/>
      <c r="AD579" s="193"/>
      <c r="AE579" s="193"/>
      <c r="AF579" s="193"/>
    </row>
    <row r="58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  <c r="AA580" s="193"/>
      <c r="AB580" s="193"/>
      <c r="AC580" s="193"/>
      <c r="AD580" s="193"/>
      <c r="AE580" s="193"/>
      <c r="AF580" s="193"/>
    </row>
    <row r="58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  <c r="AA581" s="193"/>
      <c r="AB581" s="193"/>
      <c r="AC581" s="193"/>
      <c r="AD581" s="193"/>
      <c r="AE581" s="193"/>
      <c r="AF581" s="193"/>
    </row>
    <row r="582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  <c r="AA582" s="193"/>
      <c r="AB582" s="193"/>
      <c r="AC582" s="193"/>
      <c r="AD582" s="193"/>
      <c r="AE582" s="193"/>
      <c r="AF582" s="193"/>
    </row>
    <row r="583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  <c r="AA583" s="193"/>
      <c r="AB583" s="193"/>
      <c r="AC583" s="193"/>
      <c r="AD583" s="193"/>
      <c r="AE583" s="193"/>
      <c r="AF583" s="193"/>
    </row>
    <row r="584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  <c r="AA584" s="193"/>
      <c r="AB584" s="193"/>
      <c r="AC584" s="193"/>
      <c r="AD584" s="193"/>
      <c r="AE584" s="193"/>
      <c r="AF584" s="193"/>
    </row>
    <row r="585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  <c r="AA585" s="193"/>
      <c r="AB585" s="193"/>
      <c r="AC585" s="193"/>
      <c r="AD585" s="193"/>
      <c r="AE585" s="193"/>
      <c r="AF585" s="193"/>
    </row>
    <row r="586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  <c r="AA586" s="193"/>
      <c r="AB586" s="193"/>
      <c r="AC586" s="193"/>
      <c r="AD586" s="193"/>
      <c r="AE586" s="193"/>
      <c r="AF586" s="193"/>
    </row>
    <row r="587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  <c r="AA587" s="193"/>
      <c r="AB587" s="193"/>
      <c r="AC587" s="193"/>
      <c r="AD587" s="193"/>
      <c r="AE587" s="193"/>
      <c r="AF587" s="193"/>
    </row>
    <row r="588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  <c r="AA588" s="193"/>
      <c r="AB588" s="193"/>
      <c r="AC588" s="193"/>
      <c r="AD588" s="193"/>
      <c r="AE588" s="193"/>
      <c r="AF588" s="193"/>
    </row>
    <row r="589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  <c r="AA589" s="193"/>
      <c r="AB589" s="193"/>
      <c r="AC589" s="193"/>
      <c r="AD589" s="193"/>
      <c r="AE589" s="193"/>
      <c r="AF589" s="193"/>
    </row>
    <row r="59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  <c r="AA590" s="193"/>
      <c r="AB590" s="193"/>
      <c r="AC590" s="193"/>
      <c r="AD590" s="193"/>
      <c r="AE590" s="193"/>
      <c r="AF590" s="193"/>
    </row>
    <row r="59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  <c r="AA591" s="193"/>
      <c r="AB591" s="193"/>
      <c r="AC591" s="193"/>
      <c r="AD591" s="193"/>
      <c r="AE591" s="193"/>
      <c r="AF591" s="193"/>
    </row>
    <row r="592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  <c r="AA592" s="193"/>
      <c r="AB592" s="193"/>
      <c r="AC592" s="193"/>
      <c r="AD592" s="193"/>
      <c r="AE592" s="193"/>
      <c r="AF592" s="193"/>
    </row>
    <row r="593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  <c r="AA593" s="193"/>
      <c r="AB593" s="193"/>
      <c r="AC593" s="193"/>
      <c r="AD593" s="193"/>
      <c r="AE593" s="193"/>
      <c r="AF593" s="193"/>
    </row>
    <row r="594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  <c r="AA594" s="193"/>
      <c r="AB594" s="193"/>
      <c r="AC594" s="193"/>
      <c r="AD594" s="193"/>
      <c r="AE594" s="193"/>
      <c r="AF594" s="193"/>
    </row>
    <row r="595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  <c r="AA595" s="193"/>
      <c r="AB595" s="193"/>
      <c r="AC595" s="193"/>
      <c r="AD595" s="193"/>
      <c r="AE595" s="193"/>
      <c r="AF595" s="193"/>
    </row>
    <row r="596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  <c r="AA596" s="193"/>
      <c r="AB596" s="193"/>
      <c r="AC596" s="193"/>
      <c r="AD596" s="193"/>
      <c r="AE596" s="193"/>
      <c r="AF596" s="193"/>
    </row>
    <row r="597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  <c r="AA597" s="193"/>
      <c r="AB597" s="193"/>
      <c r="AC597" s="193"/>
      <c r="AD597" s="193"/>
      <c r="AE597" s="193"/>
      <c r="AF597" s="193"/>
    </row>
    <row r="598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  <c r="AA598" s="193"/>
      <c r="AB598" s="193"/>
      <c r="AC598" s="193"/>
      <c r="AD598" s="193"/>
      <c r="AE598" s="193"/>
      <c r="AF598" s="193"/>
    </row>
    <row r="599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  <c r="AA599" s="193"/>
      <c r="AB599" s="193"/>
      <c r="AC599" s="193"/>
      <c r="AD599" s="193"/>
      <c r="AE599" s="193"/>
      <c r="AF599" s="193"/>
    </row>
    <row r="60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  <c r="AA600" s="193"/>
      <c r="AB600" s="193"/>
      <c r="AC600" s="193"/>
      <c r="AD600" s="193"/>
      <c r="AE600" s="193"/>
      <c r="AF600" s="193"/>
    </row>
    <row r="60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  <c r="AA601" s="193"/>
      <c r="AB601" s="193"/>
      <c r="AC601" s="193"/>
      <c r="AD601" s="193"/>
      <c r="AE601" s="193"/>
      <c r="AF601" s="193"/>
    </row>
    <row r="602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  <c r="AA602" s="193"/>
      <c r="AB602" s="193"/>
      <c r="AC602" s="193"/>
      <c r="AD602" s="193"/>
      <c r="AE602" s="193"/>
      <c r="AF602" s="193"/>
    </row>
    <row r="603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  <c r="AA603" s="193"/>
      <c r="AB603" s="193"/>
      <c r="AC603" s="193"/>
      <c r="AD603" s="193"/>
      <c r="AE603" s="193"/>
      <c r="AF603" s="193"/>
    </row>
    <row r="604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  <c r="AB604" s="193"/>
      <c r="AC604" s="193"/>
      <c r="AD604" s="193"/>
      <c r="AE604" s="193"/>
      <c r="AF604" s="193"/>
    </row>
    <row r="605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  <c r="AA605" s="193"/>
      <c r="AB605" s="193"/>
      <c r="AC605" s="193"/>
      <c r="AD605" s="193"/>
      <c r="AE605" s="193"/>
      <c r="AF605" s="193"/>
    </row>
    <row r="606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  <c r="AA606" s="193"/>
      <c r="AB606" s="193"/>
      <c r="AC606" s="193"/>
      <c r="AD606" s="193"/>
      <c r="AE606" s="193"/>
      <c r="AF606" s="193"/>
    </row>
    <row r="607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  <c r="AA607" s="193"/>
      <c r="AB607" s="193"/>
      <c r="AC607" s="193"/>
      <c r="AD607" s="193"/>
      <c r="AE607" s="193"/>
      <c r="AF607" s="193"/>
    </row>
    <row r="608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  <c r="AA608" s="193"/>
      <c r="AB608" s="193"/>
      <c r="AC608" s="193"/>
      <c r="AD608" s="193"/>
      <c r="AE608" s="193"/>
      <c r="AF608" s="193"/>
    </row>
    <row r="609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  <c r="AA609" s="193"/>
      <c r="AB609" s="193"/>
      <c r="AC609" s="193"/>
      <c r="AD609" s="193"/>
      <c r="AE609" s="193"/>
      <c r="AF609" s="193"/>
    </row>
    <row r="6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  <c r="AA610" s="193"/>
      <c r="AB610" s="193"/>
      <c r="AC610" s="193"/>
      <c r="AD610" s="193"/>
      <c r="AE610" s="193"/>
      <c r="AF610" s="193"/>
    </row>
    <row r="61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  <c r="AA611" s="193"/>
      <c r="AB611" s="193"/>
      <c r="AC611" s="193"/>
      <c r="AD611" s="193"/>
      <c r="AE611" s="193"/>
      <c r="AF611" s="193"/>
    </row>
    <row r="612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  <c r="AA612" s="193"/>
      <c r="AB612" s="193"/>
      <c r="AC612" s="193"/>
      <c r="AD612" s="193"/>
      <c r="AE612" s="193"/>
      <c r="AF612" s="193"/>
    </row>
    <row r="613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  <c r="AA613" s="193"/>
      <c r="AB613" s="193"/>
      <c r="AC613" s="193"/>
      <c r="AD613" s="193"/>
      <c r="AE613" s="193"/>
      <c r="AF613" s="193"/>
    </row>
    <row r="614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  <c r="AA614" s="193"/>
      <c r="AB614" s="193"/>
      <c r="AC614" s="193"/>
      <c r="AD614" s="193"/>
      <c r="AE614" s="193"/>
      <c r="AF614" s="193"/>
    </row>
    <row r="615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  <c r="AA615" s="193"/>
      <c r="AB615" s="193"/>
      <c r="AC615" s="193"/>
      <c r="AD615" s="193"/>
      <c r="AE615" s="193"/>
      <c r="AF615" s="193"/>
    </row>
    <row r="616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  <c r="AA616" s="193"/>
      <c r="AB616" s="193"/>
      <c r="AC616" s="193"/>
      <c r="AD616" s="193"/>
      <c r="AE616" s="193"/>
      <c r="AF616" s="193"/>
    </row>
    <row r="617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  <c r="AA617" s="193"/>
      <c r="AB617" s="193"/>
      <c r="AC617" s="193"/>
      <c r="AD617" s="193"/>
      <c r="AE617" s="193"/>
      <c r="AF617" s="193"/>
    </row>
    <row r="618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  <c r="AA618" s="193"/>
      <c r="AB618" s="193"/>
      <c r="AC618" s="193"/>
      <c r="AD618" s="193"/>
      <c r="AE618" s="193"/>
      <c r="AF618" s="193"/>
    </row>
    <row r="619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  <c r="AA619" s="193"/>
      <c r="AB619" s="193"/>
      <c r="AC619" s="193"/>
      <c r="AD619" s="193"/>
      <c r="AE619" s="193"/>
      <c r="AF619" s="193"/>
    </row>
    <row r="62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  <c r="AA620" s="193"/>
      <c r="AB620" s="193"/>
      <c r="AC620" s="193"/>
      <c r="AD620" s="193"/>
      <c r="AE620" s="193"/>
      <c r="AF620" s="193"/>
    </row>
    <row r="62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  <c r="AA621" s="193"/>
      <c r="AB621" s="193"/>
      <c r="AC621" s="193"/>
      <c r="AD621" s="193"/>
      <c r="AE621" s="193"/>
      <c r="AF621" s="193"/>
    </row>
    <row r="622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  <c r="AA622" s="193"/>
      <c r="AB622" s="193"/>
      <c r="AC622" s="193"/>
      <c r="AD622" s="193"/>
      <c r="AE622" s="193"/>
      <c r="AF622" s="193"/>
    </row>
    <row r="623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  <c r="AA623" s="193"/>
      <c r="AB623" s="193"/>
      <c r="AC623" s="193"/>
      <c r="AD623" s="193"/>
      <c r="AE623" s="193"/>
      <c r="AF623" s="193"/>
    </row>
    <row r="624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  <c r="AA624" s="193"/>
      <c r="AB624" s="193"/>
      <c r="AC624" s="193"/>
      <c r="AD624" s="193"/>
      <c r="AE624" s="193"/>
      <c r="AF624" s="193"/>
    </row>
    <row r="625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  <c r="AA625" s="193"/>
      <c r="AB625" s="193"/>
      <c r="AC625" s="193"/>
      <c r="AD625" s="193"/>
      <c r="AE625" s="193"/>
      <c r="AF625" s="193"/>
    </row>
    <row r="626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  <c r="AA626" s="193"/>
      <c r="AB626" s="193"/>
      <c r="AC626" s="193"/>
      <c r="AD626" s="193"/>
      <c r="AE626" s="193"/>
      <c r="AF626" s="193"/>
    </row>
    <row r="627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  <c r="AA627" s="193"/>
      <c r="AB627" s="193"/>
      <c r="AC627" s="193"/>
      <c r="AD627" s="193"/>
      <c r="AE627" s="193"/>
      <c r="AF627" s="193"/>
    </row>
    <row r="628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  <c r="AA628" s="193"/>
      <c r="AB628" s="193"/>
      <c r="AC628" s="193"/>
      <c r="AD628" s="193"/>
      <c r="AE628" s="193"/>
      <c r="AF628" s="193"/>
    </row>
    <row r="629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  <c r="AA629" s="193"/>
      <c r="AB629" s="193"/>
      <c r="AC629" s="193"/>
      <c r="AD629" s="193"/>
      <c r="AE629" s="193"/>
      <c r="AF629" s="193"/>
    </row>
    <row r="63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  <c r="AA630" s="193"/>
      <c r="AB630" s="193"/>
      <c r="AC630" s="193"/>
      <c r="AD630" s="193"/>
      <c r="AE630" s="193"/>
      <c r="AF630" s="193"/>
    </row>
    <row r="63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  <c r="AA631" s="193"/>
      <c r="AB631" s="193"/>
      <c r="AC631" s="193"/>
      <c r="AD631" s="193"/>
      <c r="AE631" s="193"/>
      <c r="AF631" s="193"/>
    </row>
    <row r="632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  <c r="AA632" s="193"/>
      <c r="AB632" s="193"/>
      <c r="AC632" s="193"/>
      <c r="AD632" s="193"/>
      <c r="AE632" s="193"/>
      <c r="AF632" s="193"/>
    </row>
    <row r="633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  <c r="AA633" s="193"/>
      <c r="AB633" s="193"/>
      <c r="AC633" s="193"/>
      <c r="AD633" s="193"/>
      <c r="AE633" s="193"/>
      <c r="AF633" s="193"/>
    </row>
    <row r="634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  <c r="AA634" s="193"/>
      <c r="AB634" s="193"/>
      <c r="AC634" s="193"/>
      <c r="AD634" s="193"/>
      <c r="AE634" s="193"/>
      <c r="AF634" s="193"/>
    </row>
    <row r="635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  <c r="AA635" s="193"/>
      <c r="AB635" s="193"/>
      <c r="AC635" s="193"/>
      <c r="AD635" s="193"/>
      <c r="AE635" s="193"/>
      <c r="AF635" s="193"/>
    </row>
    <row r="636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  <c r="AA636" s="193"/>
      <c r="AB636" s="193"/>
      <c r="AC636" s="193"/>
      <c r="AD636" s="193"/>
      <c r="AE636" s="193"/>
      <c r="AF636" s="193"/>
    </row>
    <row r="637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  <c r="AA637" s="193"/>
      <c r="AB637" s="193"/>
      <c r="AC637" s="193"/>
      <c r="AD637" s="193"/>
      <c r="AE637" s="193"/>
      <c r="AF637" s="193"/>
    </row>
    <row r="638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  <c r="AA638" s="193"/>
      <c r="AB638" s="193"/>
      <c r="AC638" s="193"/>
      <c r="AD638" s="193"/>
      <c r="AE638" s="193"/>
      <c r="AF638" s="193"/>
    </row>
    <row r="639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  <c r="AA639" s="193"/>
      <c r="AB639" s="193"/>
      <c r="AC639" s="193"/>
      <c r="AD639" s="193"/>
      <c r="AE639" s="193"/>
      <c r="AF639" s="193"/>
    </row>
    <row r="64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  <c r="AA640" s="193"/>
      <c r="AB640" s="193"/>
      <c r="AC640" s="193"/>
      <c r="AD640" s="193"/>
      <c r="AE640" s="193"/>
      <c r="AF640" s="193"/>
    </row>
    <row r="64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  <c r="AA641" s="193"/>
      <c r="AB641" s="193"/>
      <c r="AC641" s="193"/>
      <c r="AD641" s="193"/>
      <c r="AE641" s="193"/>
      <c r="AF641" s="193"/>
    </row>
    <row r="642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  <c r="AA642" s="193"/>
      <c r="AB642" s="193"/>
      <c r="AC642" s="193"/>
      <c r="AD642" s="193"/>
      <c r="AE642" s="193"/>
      <c r="AF642" s="193"/>
    </row>
    <row r="643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  <c r="AA643" s="193"/>
      <c r="AB643" s="193"/>
      <c r="AC643" s="193"/>
      <c r="AD643" s="193"/>
      <c r="AE643" s="193"/>
      <c r="AF643" s="193"/>
    </row>
    <row r="644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  <c r="AA644" s="193"/>
      <c r="AB644" s="193"/>
      <c r="AC644" s="193"/>
      <c r="AD644" s="193"/>
      <c r="AE644" s="193"/>
      <c r="AF644" s="193"/>
    </row>
    <row r="645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  <c r="AA645" s="193"/>
      <c r="AB645" s="193"/>
      <c r="AC645" s="193"/>
      <c r="AD645" s="193"/>
      <c r="AE645" s="193"/>
      <c r="AF645" s="193"/>
    </row>
    <row r="646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  <c r="AA646" s="193"/>
      <c r="AB646" s="193"/>
      <c r="AC646" s="193"/>
      <c r="AD646" s="193"/>
      <c r="AE646" s="193"/>
      <c r="AF646" s="193"/>
    </row>
    <row r="647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  <c r="AA647" s="193"/>
      <c r="AB647" s="193"/>
      <c r="AC647" s="193"/>
      <c r="AD647" s="193"/>
      <c r="AE647" s="193"/>
      <c r="AF647" s="193"/>
    </row>
    <row r="648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  <c r="AA648" s="193"/>
      <c r="AB648" s="193"/>
      <c r="AC648" s="193"/>
      <c r="AD648" s="193"/>
      <c r="AE648" s="193"/>
      <c r="AF648" s="193"/>
    </row>
    <row r="649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  <c r="AA649" s="193"/>
      <c r="AB649" s="193"/>
      <c r="AC649" s="193"/>
      <c r="AD649" s="193"/>
      <c r="AE649" s="193"/>
      <c r="AF649" s="193"/>
    </row>
    <row r="65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  <c r="AA650" s="193"/>
      <c r="AB650" s="193"/>
      <c r="AC650" s="193"/>
      <c r="AD650" s="193"/>
      <c r="AE650" s="193"/>
      <c r="AF650" s="193"/>
    </row>
    <row r="65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  <c r="AA651" s="193"/>
      <c r="AB651" s="193"/>
      <c r="AC651" s="193"/>
      <c r="AD651" s="193"/>
      <c r="AE651" s="193"/>
      <c r="AF651" s="193"/>
    </row>
    <row r="652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  <c r="AA652" s="193"/>
      <c r="AB652" s="193"/>
      <c r="AC652" s="193"/>
      <c r="AD652" s="193"/>
      <c r="AE652" s="193"/>
      <c r="AF652" s="193"/>
    </row>
    <row r="653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  <c r="AA653" s="193"/>
      <c r="AB653" s="193"/>
      <c r="AC653" s="193"/>
      <c r="AD653" s="193"/>
      <c r="AE653" s="193"/>
      <c r="AF653" s="193"/>
    </row>
    <row r="654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  <c r="AA654" s="193"/>
      <c r="AB654" s="193"/>
      <c r="AC654" s="193"/>
      <c r="AD654" s="193"/>
      <c r="AE654" s="193"/>
      <c r="AF654" s="193"/>
    </row>
    <row r="655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  <c r="AA655" s="193"/>
      <c r="AB655" s="193"/>
      <c r="AC655" s="193"/>
      <c r="AD655" s="193"/>
      <c r="AE655" s="193"/>
      <c r="AF655" s="193"/>
    </row>
    <row r="656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  <c r="AA656" s="193"/>
      <c r="AB656" s="193"/>
      <c r="AC656" s="193"/>
      <c r="AD656" s="193"/>
      <c r="AE656" s="193"/>
      <c r="AF656" s="193"/>
    </row>
    <row r="657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  <c r="AA657" s="193"/>
      <c r="AB657" s="193"/>
      <c r="AC657" s="193"/>
      <c r="AD657" s="193"/>
      <c r="AE657" s="193"/>
      <c r="AF657" s="193"/>
    </row>
    <row r="658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  <c r="AA658" s="193"/>
      <c r="AB658" s="193"/>
      <c r="AC658" s="193"/>
      <c r="AD658" s="193"/>
      <c r="AE658" s="193"/>
      <c r="AF658" s="193"/>
    </row>
    <row r="659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  <c r="AA659" s="193"/>
      <c r="AB659" s="193"/>
      <c r="AC659" s="193"/>
      <c r="AD659" s="193"/>
      <c r="AE659" s="193"/>
      <c r="AF659" s="193"/>
    </row>
    <row r="66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  <c r="AA660" s="193"/>
      <c r="AB660" s="193"/>
      <c r="AC660" s="193"/>
      <c r="AD660" s="193"/>
      <c r="AE660" s="193"/>
      <c r="AF660" s="193"/>
    </row>
    <row r="66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  <c r="AA661" s="193"/>
      <c r="AB661" s="193"/>
      <c r="AC661" s="193"/>
      <c r="AD661" s="193"/>
      <c r="AE661" s="193"/>
      <c r="AF661" s="193"/>
    </row>
    <row r="662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  <c r="AA662" s="193"/>
      <c r="AB662" s="193"/>
      <c r="AC662" s="193"/>
      <c r="AD662" s="193"/>
      <c r="AE662" s="193"/>
      <c r="AF662" s="193"/>
    </row>
    <row r="663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  <c r="AA663" s="193"/>
      <c r="AB663" s="193"/>
      <c r="AC663" s="193"/>
      <c r="AD663" s="193"/>
      <c r="AE663" s="193"/>
      <c r="AF663" s="193"/>
    </row>
    <row r="664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  <c r="AA664" s="193"/>
      <c r="AB664" s="193"/>
      <c r="AC664" s="193"/>
      <c r="AD664" s="193"/>
      <c r="AE664" s="193"/>
      <c r="AF664" s="193"/>
    </row>
    <row r="665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  <c r="AA665" s="193"/>
      <c r="AB665" s="193"/>
      <c r="AC665" s="193"/>
      <c r="AD665" s="193"/>
      <c r="AE665" s="193"/>
      <c r="AF665" s="193"/>
    </row>
    <row r="666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  <c r="AA666" s="193"/>
      <c r="AB666" s="193"/>
      <c r="AC666" s="193"/>
      <c r="AD666" s="193"/>
      <c r="AE666" s="193"/>
      <c r="AF666" s="193"/>
    </row>
    <row r="667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  <c r="AA667" s="193"/>
      <c r="AB667" s="193"/>
      <c r="AC667" s="193"/>
      <c r="AD667" s="193"/>
      <c r="AE667" s="193"/>
      <c r="AF667" s="193"/>
    </row>
    <row r="668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  <c r="AA668" s="193"/>
      <c r="AB668" s="193"/>
      <c r="AC668" s="193"/>
      <c r="AD668" s="193"/>
      <c r="AE668" s="193"/>
      <c r="AF668" s="193"/>
    </row>
    <row r="669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  <c r="AA669" s="193"/>
      <c r="AB669" s="193"/>
      <c r="AC669" s="193"/>
      <c r="AD669" s="193"/>
      <c r="AE669" s="193"/>
      <c r="AF669" s="193"/>
    </row>
    <row r="67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  <c r="AA670" s="193"/>
      <c r="AB670" s="193"/>
      <c r="AC670" s="193"/>
      <c r="AD670" s="193"/>
      <c r="AE670" s="193"/>
      <c r="AF670" s="193"/>
    </row>
    <row r="67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  <c r="AA671" s="193"/>
      <c r="AB671" s="193"/>
      <c r="AC671" s="193"/>
      <c r="AD671" s="193"/>
      <c r="AE671" s="193"/>
      <c r="AF671" s="193"/>
    </row>
    <row r="672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  <c r="AA672" s="193"/>
      <c r="AB672" s="193"/>
      <c r="AC672" s="193"/>
      <c r="AD672" s="193"/>
      <c r="AE672" s="193"/>
      <c r="AF672" s="193"/>
    </row>
    <row r="673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  <c r="AA673" s="193"/>
      <c r="AB673" s="193"/>
      <c r="AC673" s="193"/>
      <c r="AD673" s="193"/>
      <c r="AE673" s="193"/>
      <c r="AF673" s="193"/>
    </row>
    <row r="674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  <c r="X674" s="193"/>
      <c r="Y674" s="193"/>
      <c r="Z674" s="193"/>
      <c r="AA674" s="193"/>
      <c r="AB674" s="193"/>
      <c r="AC674" s="193"/>
      <c r="AD674" s="193"/>
      <c r="AE674" s="193"/>
      <c r="AF674" s="193"/>
    </row>
    <row r="675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  <c r="X675" s="193"/>
      <c r="Y675" s="193"/>
      <c r="Z675" s="193"/>
      <c r="AA675" s="193"/>
      <c r="AB675" s="193"/>
      <c r="AC675" s="193"/>
      <c r="AD675" s="193"/>
      <c r="AE675" s="193"/>
      <c r="AF675" s="193"/>
    </row>
    <row r="676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  <c r="X676" s="193"/>
      <c r="Y676" s="193"/>
      <c r="Z676" s="193"/>
      <c r="AA676" s="193"/>
      <c r="AB676" s="193"/>
      <c r="AC676" s="193"/>
      <c r="AD676" s="193"/>
      <c r="AE676" s="193"/>
      <c r="AF676" s="193"/>
    </row>
    <row r="677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  <c r="X677" s="193"/>
      <c r="Y677" s="193"/>
      <c r="Z677" s="193"/>
      <c r="AA677" s="193"/>
      <c r="AB677" s="193"/>
      <c r="AC677" s="193"/>
      <c r="AD677" s="193"/>
      <c r="AE677" s="193"/>
      <c r="AF677" s="193"/>
    </row>
    <row r="678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  <c r="X678" s="193"/>
      <c r="Y678" s="193"/>
      <c r="Z678" s="193"/>
      <c r="AA678" s="193"/>
      <c r="AB678" s="193"/>
      <c r="AC678" s="193"/>
      <c r="AD678" s="193"/>
      <c r="AE678" s="193"/>
      <c r="AF678" s="193"/>
    </row>
    <row r="679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  <c r="X679" s="193"/>
      <c r="Y679" s="193"/>
      <c r="Z679" s="193"/>
      <c r="AA679" s="193"/>
      <c r="AB679" s="193"/>
      <c r="AC679" s="193"/>
      <c r="AD679" s="193"/>
      <c r="AE679" s="193"/>
      <c r="AF679" s="193"/>
    </row>
    <row r="68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  <c r="X680" s="193"/>
      <c r="Y680" s="193"/>
      <c r="Z680" s="193"/>
      <c r="AA680" s="193"/>
      <c r="AB680" s="193"/>
      <c r="AC680" s="193"/>
      <c r="AD680" s="193"/>
      <c r="AE680" s="193"/>
      <c r="AF680" s="193"/>
    </row>
    <row r="68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  <c r="X681" s="193"/>
      <c r="Y681" s="193"/>
      <c r="Z681" s="193"/>
      <c r="AA681" s="193"/>
      <c r="AB681" s="193"/>
      <c r="AC681" s="193"/>
      <c r="AD681" s="193"/>
      <c r="AE681" s="193"/>
      <c r="AF681" s="193"/>
    </row>
    <row r="682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  <c r="X682" s="193"/>
      <c r="Y682" s="193"/>
      <c r="Z682" s="193"/>
      <c r="AA682" s="193"/>
      <c r="AB682" s="193"/>
      <c r="AC682" s="193"/>
      <c r="AD682" s="193"/>
      <c r="AE682" s="193"/>
      <c r="AF682" s="193"/>
    </row>
    <row r="683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  <c r="X683" s="193"/>
      <c r="Y683" s="193"/>
      <c r="Z683" s="193"/>
      <c r="AA683" s="193"/>
      <c r="AB683" s="193"/>
      <c r="AC683" s="193"/>
      <c r="AD683" s="193"/>
      <c r="AE683" s="193"/>
      <c r="AF683" s="193"/>
    </row>
    <row r="684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  <c r="X684" s="193"/>
      <c r="Y684" s="193"/>
      <c r="Z684" s="193"/>
      <c r="AA684" s="193"/>
      <c r="AB684" s="193"/>
      <c r="AC684" s="193"/>
      <c r="AD684" s="193"/>
      <c r="AE684" s="193"/>
      <c r="AF684" s="193"/>
    </row>
    <row r="685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  <c r="X685" s="193"/>
      <c r="Y685" s="193"/>
      <c r="Z685" s="193"/>
      <c r="AA685" s="193"/>
      <c r="AB685" s="193"/>
      <c r="AC685" s="193"/>
      <c r="AD685" s="193"/>
      <c r="AE685" s="193"/>
      <c r="AF685" s="193"/>
    </row>
    <row r="686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  <c r="X686" s="193"/>
      <c r="Y686" s="193"/>
      <c r="Z686" s="193"/>
      <c r="AA686" s="193"/>
      <c r="AB686" s="193"/>
      <c r="AC686" s="193"/>
      <c r="AD686" s="193"/>
      <c r="AE686" s="193"/>
      <c r="AF686" s="193"/>
    </row>
    <row r="687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  <c r="X687" s="193"/>
      <c r="Y687" s="193"/>
      <c r="Z687" s="193"/>
      <c r="AA687" s="193"/>
      <c r="AB687" s="193"/>
      <c r="AC687" s="193"/>
      <c r="AD687" s="193"/>
      <c r="AE687" s="193"/>
      <c r="AF687" s="193"/>
    </row>
    <row r="688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  <c r="X688" s="193"/>
      <c r="Y688" s="193"/>
      <c r="Z688" s="193"/>
      <c r="AA688" s="193"/>
      <c r="AB688" s="193"/>
      <c r="AC688" s="193"/>
      <c r="AD688" s="193"/>
      <c r="AE688" s="193"/>
      <c r="AF688" s="193"/>
    </row>
    <row r="689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  <c r="X689" s="193"/>
      <c r="Y689" s="193"/>
      <c r="Z689" s="193"/>
      <c r="AA689" s="193"/>
      <c r="AB689" s="193"/>
      <c r="AC689" s="193"/>
      <c r="AD689" s="193"/>
      <c r="AE689" s="193"/>
      <c r="AF689" s="193"/>
    </row>
    <row r="69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  <c r="X690" s="193"/>
      <c r="Y690" s="193"/>
      <c r="Z690" s="193"/>
      <c r="AA690" s="193"/>
      <c r="AB690" s="193"/>
      <c r="AC690" s="193"/>
      <c r="AD690" s="193"/>
      <c r="AE690" s="193"/>
      <c r="AF690" s="193"/>
    </row>
    <row r="69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  <c r="AA691" s="193"/>
      <c r="AB691" s="193"/>
      <c r="AC691" s="193"/>
      <c r="AD691" s="193"/>
      <c r="AE691" s="193"/>
      <c r="AF691" s="193"/>
    </row>
    <row r="692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  <c r="X692" s="193"/>
      <c r="Y692" s="193"/>
      <c r="Z692" s="193"/>
      <c r="AA692" s="193"/>
      <c r="AB692" s="193"/>
      <c r="AC692" s="193"/>
      <c r="AD692" s="193"/>
      <c r="AE692" s="193"/>
      <c r="AF692" s="193"/>
    </row>
    <row r="693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  <c r="X693" s="193"/>
      <c r="Y693" s="193"/>
      <c r="Z693" s="193"/>
      <c r="AA693" s="193"/>
      <c r="AB693" s="193"/>
      <c r="AC693" s="193"/>
      <c r="AD693" s="193"/>
      <c r="AE693" s="193"/>
      <c r="AF693" s="193"/>
    </row>
    <row r="694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  <c r="X694" s="193"/>
      <c r="Y694" s="193"/>
      <c r="Z694" s="193"/>
      <c r="AA694" s="193"/>
      <c r="AB694" s="193"/>
      <c r="AC694" s="193"/>
      <c r="AD694" s="193"/>
      <c r="AE694" s="193"/>
      <c r="AF694" s="193"/>
    </row>
    <row r="695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  <c r="X695" s="193"/>
      <c r="Y695" s="193"/>
      <c r="Z695" s="193"/>
      <c r="AA695" s="193"/>
      <c r="AB695" s="193"/>
      <c r="AC695" s="193"/>
      <c r="AD695" s="193"/>
      <c r="AE695" s="193"/>
      <c r="AF695" s="193"/>
    </row>
    <row r="696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  <c r="X696" s="193"/>
      <c r="Y696" s="193"/>
      <c r="Z696" s="193"/>
      <c r="AA696" s="193"/>
      <c r="AB696" s="193"/>
      <c r="AC696" s="193"/>
      <c r="AD696" s="193"/>
      <c r="AE696" s="193"/>
      <c r="AF696" s="193"/>
    </row>
    <row r="697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  <c r="X697" s="193"/>
      <c r="Y697" s="193"/>
      <c r="Z697" s="193"/>
      <c r="AA697" s="193"/>
      <c r="AB697" s="193"/>
      <c r="AC697" s="193"/>
      <c r="AD697" s="193"/>
      <c r="AE697" s="193"/>
      <c r="AF697" s="193"/>
    </row>
    <row r="698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  <c r="X698" s="193"/>
      <c r="Y698" s="193"/>
      <c r="Z698" s="193"/>
      <c r="AA698" s="193"/>
      <c r="AB698" s="193"/>
      <c r="AC698" s="193"/>
      <c r="AD698" s="193"/>
      <c r="AE698" s="193"/>
      <c r="AF698" s="193"/>
    </row>
    <row r="699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  <c r="X699" s="193"/>
      <c r="Y699" s="193"/>
      <c r="Z699" s="193"/>
      <c r="AA699" s="193"/>
      <c r="AB699" s="193"/>
      <c r="AC699" s="193"/>
      <c r="AD699" s="193"/>
      <c r="AE699" s="193"/>
      <c r="AF699" s="193"/>
    </row>
    <row r="70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  <c r="X700" s="193"/>
      <c r="Y700" s="193"/>
      <c r="Z700" s="193"/>
      <c r="AA700" s="193"/>
      <c r="AB700" s="193"/>
      <c r="AC700" s="193"/>
      <c r="AD700" s="193"/>
      <c r="AE700" s="193"/>
      <c r="AF700" s="193"/>
    </row>
    <row r="70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  <c r="X701" s="193"/>
      <c r="Y701" s="193"/>
      <c r="Z701" s="193"/>
      <c r="AA701" s="193"/>
      <c r="AB701" s="193"/>
      <c r="AC701" s="193"/>
      <c r="AD701" s="193"/>
      <c r="AE701" s="193"/>
      <c r="AF701" s="193"/>
    </row>
    <row r="702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  <c r="X702" s="193"/>
      <c r="Y702" s="193"/>
      <c r="Z702" s="193"/>
      <c r="AA702" s="193"/>
      <c r="AB702" s="193"/>
      <c r="AC702" s="193"/>
      <c r="AD702" s="193"/>
      <c r="AE702" s="193"/>
      <c r="AF702" s="193"/>
    </row>
    <row r="703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  <c r="X703" s="193"/>
      <c r="Y703" s="193"/>
      <c r="Z703" s="193"/>
      <c r="AA703" s="193"/>
      <c r="AB703" s="193"/>
      <c r="AC703" s="193"/>
      <c r="AD703" s="193"/>
      <c r="AE703" s="193"/>
      <c r="AF703" s="193"/>
    </row>
    <row r="704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  <c r="X704" s="193"/>
      <c r="Y704" s="193"/>
      <c r="Z704" s="193"/>
      <c r="AA704" s="193"/>
      <c r="AB704" s="193"/>
      <c r="AC704" s="193"/>
      <c r="AD704" s="193"/>
      <c r="AE704" s="193"/>
      <c r="AF704" s="193"/>
    </row>
    <row r="705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  <c r="X705" s="193"/>
      <c r="Y705" s="193"/>
      <c r="Z705" s="193"/>
      <c r="AA705" s="193"/>
      <c r="AB705" s="193"/>
      <c r="AC705" s="193"/>
      <c r="AD705" s="193"/>
      <c r="AE705" s="193"/>
      <c r="AF705" s="193"/>
    </row>
    <row r="706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  <c r="X706" s="193"/>
      <c r="Y706" s="193"/>
      <c r="Z706" s="193"/>
      <c r="AA706" s="193"/>
      <c r="AB706" s="193"/>
      <c r="AC706" s="193"/>
      <c r="AD706" s="193"/>
      <c r="AE706" s="193"/>
      <c r="AF706" s="193"/>
    </row>
    <row r="707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  <c r="X707" s="193"/>
      <c r="Y707" s="193"/>
      <c r="Z707" s="193"/>
      <c r="AA707" s="193"/>
      <c r="AB707" s="193"/>
      <c r="AC707" s="193"/>
      <c r="AD707" s="193"/>
      <c r="AE707" s="193"/>
      <c r="AF707" s="193"/>
    </row>
    <row r="708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  <c r="X708" s="193"/>
      <c r="Y708" s="193"/>
      <c r="Z708" s="193"/>
      <c r="AA708" s="193"/>
      <c r="AB708" s="193"/>
      <c r="AC708" s="193"/>
      <c r="AD708" s="193"/>
      <c r="AE708" s="193"/>
      <c r="AF708" s="193"/>
    </row>
    <row r="709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  <c r="X709" s="193"/>
      <c r="Y709" s="193"/>
      <c r="Z709" s="193"/>
      <c r="AA709" s="193"/>
      <c r="AB709" s="193"/>
      <c r="AC709" s="193"/>
      <c r="AD709" s="193"/>
      <c r="AE709" s="193"/>
      <c r="AF709" s="193"/>
    </row>
    <row r="7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  <c r="X710" s="193"/>
      <c r="Y710" s="193"/>
      <c r="Z710" s="193"/>
      <c r="AA710" s="193"/>
      <c r="AB710" s="193"/>
      <c r="AC710" s="193"/>
      <c r="AD710" s="193"/>
      <c r="AE710" s="193"/>
      <c r="AF710" s="193"/>
    </row>
    <row r="71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  <c r="X711" s="193"/>
      <c r="Y711" s="193"/>
      <c r="Z711" s="193"/>
      <c r="AA711" s="193"/>
      <c r="AB711" s="193"/>
      <c r="AC711" s="193"/>
      <c r="AD711" s="193"/>
      <c r="AE711" s="193"/>
      <c r="AF711" s="193"/>
    </row>
    <row r="712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  <c r="X712" s="193"/>
      <c r="Y712" s="193"/>
      <c r="Z712" s="193"/>
      <c r="AA712" s="193"/>
      <c r="AB712" s="193"/>
      <c r="AC712" s="193"/>
      <c r="AD712" s="193"/>
      <c r="AE712" s="193"/>
      <c r="AF712" s="193"/>
    </row>
    <row r="713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  <c r="X713" s="193"/>
      <c r="Y713" s="193"/>
      <c r="Z713" s="193"/>
      <c r="AA713" s="193"/>
      <c r="AB713" s="193"/>
      <c r="AC713" s="193"/>
      <c r="AD713" s="193"/>
      <c r="AE713" s="193"/>
      <c r="AF713" s="193"/>
    </row>
    <row r="714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  <c r="X714" s="193"/>
      <c r="Y714" s="193"/>
      <c r="Z714" s="193"/>
      <c r="AA714" s="193"/>
      <c r="AB714" s="193"/>
      <c r="AC714" s="193"/>
      <c r="AD714" s="193"/>
      <c r="AE714" s="193"/>
      <c r="AF714" s="193"/>
    </row>
    <row r="715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  <c r="X715" s="193"/>
      <c r="Y715" s="193"/>
      <c r="Z715" s="193"/>
      <c r="AA715" s="193"/>
      <c r="AB715" s="193"/>
      <c r="AC715" s="193"/>
      <c r="AD715" s="193"/>
      <c r="AE715" s="193"/>
      <c r="AF715" s="193"/>
    </row>
    <row r="716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  <c r="X716" s="193"/>
      <c r="Y716" s="193"/>
      <c r="Z716" s="193"/>
      <c r="AA716" s="193"/>
      <c r="AB716" s="193"/>
      <c r="AC716" s="193"/>
      <c r="AD716" s="193"/>
      <c r="AE716" s="193"/>
      <c r="AF716" s="193"/>
    </row>
    <row r="717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  <c r="X717" s="193"/>
      <c r="Y717" s="193"/>
      <c r="Z717" s="193"/>
      <c r="AA717" s="193"/>
      <c r="AB717" s="193"/>
      <c r="AC717" s="193"/>
      <c r="AD717" s="193"/>
      <c r="AE717" s="193"/>
      <c r="AF717" s="193"/>
    </row>
    <row r="718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  <c r="X718" s="193"/>
      <c r="Y718" s="193"/>
      <c r="Z718" s="193"/>
      <c r="AA718" s="193"/>
      <c r="AB718" s="193"/>
      <c r="AC718" s="193"/>
      <c r="AD718" s="193"/>
      <c r="AE718" s="193"/>
      <c r="AF718" s="193"/>
    </row>
    <row r="719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  <c r="X719" s="193"/>
      <c r="Y719" s="193"/>
      <c r="Z719" s="193"/>
      <c r="AA719" s="193"/>
      <c r="AB719" s="193"/>
      <c r="AC719" s="193"/>
      <c r="AD719" s="193"/>
      <c r="AE719" s="193"/>
      <c r="AF719" s="193"/>
    </row>
    <row r="72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  <c r="X720" s="193"/>
      <c r="Y720" s="193"/>
      <c r="Z720" s="193"/>
      <c r="AA720" s="193"/>
      <c r="AB720" s="193"/>
      <c r="AC720" s="193"/>
      <c r="AD720" s="193"/>
      <c r="AE720" s="193"/>
      <c r="AF720" s="193"/>
    </row>
    <row r="72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  <c r="X721" s="193"/>
      <c r="Y721" s="193"/>
      <c r="Z721" s="193"/>
      <c r="AA721" s="193"/>
      <c r="AB721" s="193"/>
      <c r="AC721" s="193"/>
      <c r="AD721" s="193"/>
      <c r="AE721" s="193"/>
      <c r="AF721" s="193"/>
    </row>
    <row r="722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  <c r="X722" s="193"/>
      <c r="Y722" s="193"/>
      <c r="Z722" s="193"/>
      <c r="AA722" s="193"/>
      <c r="AB722" s="193"/>
      <c r="AC722" s="193"/>
      <c r="AD722" s="193"/>
      <c r="AE722" s="193"/>
      <c r="AF722" s="193"/>
    </row>
    <row r="723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  <c r="X723" s="193"/>
      <c r="Y723" s="193"/>
      <c r="Z723" s="193"/>
      <c r="AA723" s="193"/>
      <c r="AB723" s="193"/>
      <c r="AC723" s="193"/>
      <c r="AD723" s="193"/>
      <c r="AE723" s="193"/>
      <c r="AF723" s="193"/>
    </row>
    <row r="724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  <c r="X724" s="193"/>
      <c r="Y724" s="193"/>
      <c r="Z724" s="193"/>
      <c r="AA724" s="193"/>
      <c r="AB724" s="193"/>
      <c r="AC724" s="193"/>
      <c r="AD724" s="193"/>
      <c r="AE724" s="193"/>
      <c r="AF724" s="193"/>
    </row>
    <row r="725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  <c r="X725" s="193"/>
      <c r="Y725" s="193"/>
      <c r="Z725" s="193"/>
      <c r="AA725" s="193"/>
      <c r="AB725" s="193"/>
      <c r="AC725" s="193"/>
      <c r="AD725" s="193"/>
      <c r="AE725" s="193"/>
      <c r="AF725" s="193"/>
    </row>
    <row r="726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  <c r="X726" s="193"/>
      <c r="Y726" s="193"/>
      <c r="Z726" s="193"/>
      <c r="AA726" s="193"/>
      <c r="AB726" s="193"/>
      <c r="AC726" s="193"/>
      <c r="AD726" s="193"/>
      <c r="AE726" s="193"/>
      <c r="AF726" s="193"/>
    </row>
    <row r="727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  <c r="X727" s="193"/>
      <c r="Y727" s="193"/>
      <c r="Z727" s="193"/>
      <c r="AA727" s="193"/>
      <c r="AB727" s="193"/>
      <c r="AC727" s="193"/>
      <c r="AD727" s="193"/>
      <c r="AE727" s="193"/>
      <c r="AF727" s="193"/>
    </row>
    <row r="728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  <c r="X728" s="193"/>
      <c r="Y728" s="193"/>
      <c r="Z728" s="193"/>
      <c r="AA728" s="193"/>
      <c r="AB728" s="193"/>
      <c r="AC728" s="193"/>
      <c r="AD728" s="193"/>
      <c r="AE728" s="193"/>
      <c r="AF728" s="193"/>
    </row>
    <row r="729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  <c r="X729" s="193"/>
      <c r="Y729" s="193"/>
      <c r="Z729" s="193"/>
      <c r="AA729" s="193"/>
      <c r="AB729" s="193"/>
      <c r="AC729" s="193"/>
      <c r="AD729" s="193"/>
      <c r="AE729" s="193"/>
      <c r="AF729" s="193"/>
    </row>
    <row r="73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  <c r="X730" s="193"/>
      <c r="Y730" s="193"/>
      <c r="Z730" s="193"/>
      <c r="AA730" s="193"/>
      <c r="AB730" s="193"/>
      <c r="AC730" s="193"/>
      <c r="AD730" s="193"/>
      <c r="AE730" s="193"/>
      <c r="AF730" s="193"/>
    </row>
    <row r="73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  <c r="X731" s="193"/>
      <c r="Y731" s="193"/>
      <c r="Z731" s="193"/>
      <c r="AA731" s="193"/>
      <c r="AB731" s="193"/>
      <c r="AC731" s="193"/>
      <c r="AD731" s="193"/>
      <c r="AE731" s="193"/>
      <c r="AF731" s="193"/>
    </row>
    <row r="732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  <c r="X732" s="193"/>
      <c r="Y732" s="193"/>
      <c r="Z732" s="193"/>
      <c r="AA732" s="193"/>
      <c r="AB732" s="193"/>
      <c r="AC732" s="193"/>
      <c r="AD732" s="193"/>
      <c r="AE732" s="193"/>
      <c r="AF732" s="193"/>
    </row>
    <row r="733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  <c r="X733" s="193"/>
      <c r="Y733" s="193"/>
      <c r="Z733" s="193"/>
      <c r="AA733" s="193"/>
      <c r="AB733" s="193"/>
      <c r="AC733" s="193"/>
      <c r="AD733" s="193"/>
      <c r="AE733" s="193"/>
      <c r="AF733" s="193"/>
    </row>
    <row r="734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  <c r="X734" s="193"/>
      <c r="Y734" s="193"/>
      <c r="Z734" s="193"/>
      <c r="AA734" s="193"/>
      <c r="AB734" s="193"/>
      <c r="AC734" s="193"/>
      <c r="AD734" s="193"/>
      <c r="AE734" s="193"/>
      <c r="AF734" s="193"/>
    </row>
    <row r="735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  <c r="X735" s="193"/>
      <c r="Y735" s="193"/>
      <c r="Z735" s="193"/>
      <c r="AA735" s="193"/>
      <c r="AB735" s="193"/>
      <c r="AC735" s="193"/>
      <c r="AD735" s="193"/>
      <c r="AE735" s="193"/>
      <c r="AF735" s="193"/>
    </row>
    <row r="736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  <c r="X736" s="193"/>
      <c r="Y736" s="193"/>
      <c r="Z736" s="193"/>
      <c r="AA736" s="193"/>
      <c r="AB736" s="193"/>
      <c r="AC736" s="193"/>
      <c r="AD736" s="193"/>
      <c r="AE736" s="193"/>
      <c r="AF736" s="193"/>
    </row>
    <row r="737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  <c r="X737" s="193"/>
      <c r="Y737" s="193"/>
      <c r="Z737" s="193"/>
      <c r="AA737" s="193"/>
      <c r="AB737" s="193"/>
      <c r="AC737" s="193"/>
      <c r="AD737" s="193"/>
      <c r="AE737" s="193"/>
      <c r="AF737" s="193"/>
    </row>
    <row r="738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  <c r="X738" s="193"/>
      <c r="Y738" s="193"/>
      <c r="Z738" s="193"/>
      <c r="AA738" s="193"/>
      <c r="AB738" s="193"/>
      <c r="AC738" s="193"/>
      <c r="AD738" s="193"/>
      <c r="AE738" s="193"/>
      <c r="AF738" s="193"/>
    </row>
    <row r="739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  <c r="X739" s="193"/>
      <c r="Y739" s="193"/>
      <c r="Z739" s="193"/>
      <c r="AA739" s="193"/>
      <c r="AB739" s="193"/>
      <c r="AC739" s="193"/>
      <c r="AD739" s="193"/>
      <c r="AE739" s="193"/>
      <c r="AF739" s="193"/>
    </row>
    <row r="74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  <c r="X740" s="193"/>
      <c r="Y740" s="193"/>
      <c r="Z740" s="193"/>
      <c r="AA740" s="193"/>
      <c r="AB740" s="193"/>
      <c r="AC740" s="193"/>
      <c r="AD740" s="193"/>
      <c r="AE740" s="193"/>
      <c r="AF740" s="193"/>
    </row>
    <row r="74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  <c r="X741" s="193"/>
      <c r="Y741" s="193"/>
      <c r="Z741" s="193"/>
      <c r="AA741" s="193"/>
      <c r="AB741" s="193"/>
      <c r="AC741" s="193"/>
      <c r="AD741" s="193"/>
      <c r="AE741" s="193"/>
      <c r="AF741" s="193"/>
    </row>
    <row r="742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  <c r="X742" s="193"/>
      <c r="Y742" s="193"/>
      <c r="Z742" s="193"/>
      <c r="AA742" s="193"/>
      <c r="AB742" s="193"/>
      <c r="AC742" s="193"/>
      <c r="AD742" s="193"/>
      <c r="AE742" s="193"/>
      <c r="AF742" s="193"/>
    </row>
    <row r="743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  <c r="X743" s="193"/>
      <c r="Y743" s="193"/>
      <c r="Z743" s="193"/>
      <c r="AA743" s="193"/>
      <c r="AB743" s="193"/>
      <c r="AC743" s="193"/>
      <c r="AD743" s="193"/>
      <c r="AE743" s="193"/>
      <c r="AF743" s="193"/>
    </row>
    <row r="744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3"/>
      <c r="X744" s="193"/>
      <c r="Y744" s="193"/>
      <c r="Z744" s="193"/>
      <c r="AA744" s="193"/>
      <c r="AB744" s="193"/>
      <c r="AC744" s="193"/>
      <c r="AD744" s="193"/>
      <c r="AE744" s="193"/>
      <c r="AF744" s="193"/>
    </row>
    <row r="745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3"/>
      <c r="X745" s="193"/>
      <c r="Y745" s="193"/>
      <c r="Z745" s="193"/>
      <c r="AA745" s="193"/>
      <c r="AB745" s="193"/>
      <c r="AC745" s="193"/>
      <c r="AD745" s="193"/>
      <c r="AE745" s="193"/>
      <c r="AF745" s="193"/>
    </row>
    <row r="746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3"/>
      <c r="X746" s="193"/>
      <c r="Y746" s="193"/>
      <c r="Z746" s="193"/>
      <c r="AA746" s="193"/>
      <c r="AB746" s="193"/>
      <c r="AC746" s="193"/>
      <c r="AD746" s="193"/>
      <c r="AE746" s="193"/>
      <c r="AF746" s="193"/>
    </row>
    <row r="747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3"/>
      <c r="X747" s="193"/>
      <c r="Y747" s="193"/>
      <c r="Z747" s="193"/>
      <c r="AA747" s="193"/>
      <c r="AB747" s="193"/>
      <c r="AC747" s="193"/>
      <c r="AD747" s="193"/>
      <c r="AE747" s="193"/>
      <c r="AF747" s="193"/>
    </row>
    <row r="748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3"/>
      <c r="X748" s="193"/>
      <c r="Y748" s="193"/>
      <c r="Z748" s="193"/>
      <c r="AA748" s="193"/>
      <c r="AB748" s="193"/>
      <c r="AC748" s="193"/>
      <c r="AD748" s="193"/>
      <c r="AE748" s="193"/>
      <c r="AF748" s="193"/>
    </row>
    <row r="749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3"/>
      <c r="X749" s="193"/>
      <c r="Y749" s="193"/>
      <c r="Z749" s="193"/>
      <c r="AA749" s="193"/>
      <c r="AB749" s="193"/>
      <c r="AC749" s="193"/>
      <c r="AD749" s="193"/>
      <c r="AE749" s="193"/>
      <c r="AF749" s="193"/>
    </row>
    <row r="75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3"/>
      <c r="X750" s="193"/>
      <c r="Y750" s="193"/>
      <c r="Z750" s="193"/>
      <c r="AA750" s="193"/>
      <c r="AB750" s="193"/>
      <c r="AC750" s="193"/>
      <c r="AD750" s="193"/>
      <c r="AE750" s="193"/>
      <c r="AF750" s="193"/>
    </row>
    <row r="751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3"/>
      <c r="X751" s="193"/>
      <c r="Y751" s="193"/>
      <c r="Z751" s="193"/>
      <c r="AA751" s="193"/>
      <c r="AB751" s="193"/>
      <c r="AC751" s="193"/>
      <c r="AD751" s="193"/>
      <c r="AE751" s="193"/>
      <c r="AF751" s="193"/>
    </row>
    <row r="752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3"/>
      <c r="X752" s="193"/>
      <c r="Y752" s="193"/>
      <c r="Z752" s="193"/>
      <c r="AA752" s="193"/>
      <c r="AB752" s="193"/>
      <c r="AC752" s="193"/>
      <c r="AD752" s="193"/>
      <c r="AE752" s="193"/>
      <c r="AF752" s="193"/>
    </row>
    <row r="753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3"/>
      <c r="X753" s="193"/>
      <c r="Y753" s="193"/>
      <c r="Z753" s="193"/>
      <c r="AA753" s="193"/>
      <c r="AB753" s="193"/>
      <c r="AC753" s="193"/>
      <c r="AD753" s="193"/>
      <c r="AE753" s="193"/>
      <c r="AF753" s="193"/>
    </row>
    <row r="754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3"/>
      <c r="X754" s="193"/>
      <c r="Y754" s="193"/>
      <c r="Z754" s="193"/>
      <c r="AA754" s="193"/>
      <c r="AB754" s="193"/>
      <c r="AC754" s="193"/>
      <c r="AD754" s="193"/>
      <c r="AE754" s="193"/>
      <c r="AF754" s="193"/>
    </row>
    <row r="755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3"/>
      <c r="X755" s="193"/>
      <c r="Y755" s="193"/>
      <c r="Z755" s="193"/>
      <c r="AA755" s="193"/>
      <c r="AB755" s="193"/>
      <c r="AC755" s="193"/>
      <c r="AD755" s="193"/>
      <c r="AE755" s="193"/>
      <c r="AF755" s="193"/>
    </row>
    <row r="756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3"/>
      <c r="X756" s="193"/>
      <c r="Y756" s="193"/>
      <c r="Z756" s="193"/>
      <c r="AA756" s="193"/>
      <c r="AB756" s="193"/>
      <c r="AC756" s="193"/>
      <c r="AD756" s="193"/>
      <c r="AE756" s="193"/>
      <c r="AF756" s="193"/>
    </row>
    <row r="757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3"/>
      <c r="X757" s="193"/>
      <c r="Y757" s="193"/>
      <c r="Z757" s="193"/>
      <c r="AA757" s="193"/>
      <c r="AB757" s="193"/>
      <c r="AC757" s="193"/>
      <c r="AD757" s="193"/>
      <c r="AE757" s="193"/>
      <c r="AF757" s="193"/>
    </row>
    <row r="758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3"/>
      <c r="X758" s="193"/>
      <c r="Y758" s="193"/>
      <c r="Z758" s="193"/>
      <c r="AA758" s="193"/>
      <c r="AB758" s="193"/>
      <c r="AC758" s="193"/>
      <c r="AD758" s="193"/>
      <c r="AE758" s="193"/>
      <c r="AF758" s="193"/>
    </row>
    <row r="759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3"/>
      <c r="X759" s="193"/>
      <c r="Y759" s="193"/>
      <c r="Z759" s="193"/>
      <c r="AA759" s="193"/>
      <c r="AB759" s="193"/>
      <c r="AC759" s="193"/>
      <c r="AD759" s="193"/>
      <c r="AE759" s="193"/>
      <c r="AF759" s="193"/>
    </row>
    <row r="760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3"/>
      <c r="X760" s="193"/>
      <c r="Y760" s="193"/>
      <c r="Z760" s="193"/>
      <c r="AA760" s="193"/>
      <c r="AB760" s="193"/>
      <c r="AC760" s="193"/>
      <c r="AD760" s="193"/>
      <c r="AE760" s="193"/>
      <c r="AF760" s="193"/>
    </row>
    <row r="761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3"/>
      <c r="X761" s="193"/>
      <c r="Y761" s="193"/>
      <c r="Z761" s="193"/>
      <c r="AA761" s="193"/>
      <c r="AB761" s="193"/>
      <c r="AC761" s="193"/>
      <c r="AD761" s="193"/>
      <c r="AE761" s="193"/>
      <c r="AF761" s="193"/>
    </row>
    <row r="762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3"/>
      <c r="X762" s="193"/>
      <c r="Y762" s="193"/>
      <c r="Z762" s="193"/>
      <c r="AA762" s="193"/>
      <c r="AB762" s="193"/>
      <c r="AC762" s="193"/>
      <c r="AD762" s="193"/>
      <c r="AE762" s="193"/>
      <c r="AF762" s="193"/>
    </row>
    <row r="763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3"/>
      <c r="X763" s="193"/>
      <c r="Y763" s="193"/>
      <c r="Z763" s="193"/>
      <c r="AA763" s="193"/>
      <c r="AB763" s="193"/>
      <c r="AC763" s="193"/>
      <c r="AD763" s="193"/>
      <c r="AE763" s="193"/>
      <c r="AF763" s="193"/>
    </row>
    <row r="764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3"/>
      <c r="X764" s="193"/>
      <c r="Y764" s="193"/>
      <c r="Z764" s="193"/>
      <c r="AA764" s="193"/>
      <c r="AB764" s="193"/>
      <c r="AC764" s="193"/>
      <c r="AD764" s="193"/>
      <c r="AE764" s="193"/>
      <c r="AF764" s="193"/>
    </row>
    <row r="765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3"/>
      <c r="X765" s="193"/>
      <c r="Y765" s="193"/>
      <c r="Z765" s="193"/>
      <c r="AA765" s="193"/>
      <c r="AB765" s="193"/>
      <c r="AC765" s="193"/>
      <c r="AD765" s="193"/>
      <c r="AE765" s="193"/>
      <c r="AF765" s="193"/>
    </row>
    <row r="766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3"/>
      <c r="X766" s="193"/>
      <c r="Y766" s="193"/>
      <c r="Z766" s="193"/>
      <c r="AA766" s="193"/>
      <c r="AB766" s="193"/>
      <c r="AC766" s="193"/>
      <c r="AD766" s="193"/>
      <c r="AE766" s="193"/>
      <c r="AF766" s="193"/>
    </row>
    <row r="767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3"/>
      <c r="X767" s="193"/>
      <c r="Y767" s="193"/>
      <c r="Z767" s="193"/>
      <c r="AA767" s="193"/>
      <c r="AB767" s="193"/>
      <c r="AC767" s="193"/>
      <c r="AD767" s="193"/>
      <c r="AE767" s="193"/>
      <c r="AF767" s="193"/>
    </row>
    <row r="768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3"/>
      <c r="X768" s="193"/>
      <c r="Y768" s="193"/>
      <c r="Z768" s="193"/>
      <c r="AA768" s="193"/>
      <c r="AB768" s="193"/>
      <c r="AC768" s="193"/>
      <c r="AD768" s="193"/>
      <c r="AE768" s="193"/>
      <c r="AF768" s="193"/>
    </row>
    <row r="769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  <c r="X769" s="193"/>
      <c r="Y769" s="193"/>
      <c r="Z769" s="193"/>
      <c r="AA769" s="193"/>
      <c r="AB769" s="193"/>
      <c r="AC769" s="193"/>
      <c r="AD769" s="193"/>
      <c r="AE769" s="193"/>
      <c r="AF769" s="193"/>
    </row>
    <row r="770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3"/>
      <c r="X770" s="193"/>
      <c r="Y770" s="193"/>
      <c r="Z770" s="193"/>
      <c r="AA770" s="193"/>
      <c r="AB770" s="193"/>
      <c r="AC770" s="193"/>
      <c r="AD770" s="193"/>
      <c r="AE770" s="193"/>
      <c r="AF770" s="193"/>
    </row>
    <row r="771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3"/>
      <c r="X771" s="193"/>
      <c r="Y771" s="193"/>
      <c r="Z771" s="193"/>
      <c r="AA771" s="193"/>
      <c r="AB771" s="193"/>
      <c r="AC771" s="193"/>
      <c r="AD771" s="193"/>
      <c r="AE771" s="193"/>
      <c r="AF771" s="193"/>
    </row>
    <row r="772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3"/>
      <c r="X772" s="193"/>
      <c r="Y772" s="193"/>
      <c r="Z772" s="193"/>
      <c r="AA772" s="193"/>
      <c r="AB772" s="193"/>
      <c r="AC772" s="193"/>
      <c r="AD772" s="193"/>
      <c r="AE772" s="193"/>
      <c r="AF772" s="193"/>
    </row>
    <row r="773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3"/>
      <c r="X773" s="193"/>
      <c r="Y773" s="193"/>
      <c r="Z773" s="193"/>
      <c r="AA773" s="193"/>
      <c r="AB773" s="193"/>
      <c r="AC773" s="193"/>
      <c r="AD773" s="193"/>
      <c r="AE773" s="193"/>
      <c r="AF773" s="193"/>
    </row>
    <row r="774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3"/>
      <c r="X774" s="193"/>
      <c r="Y774" s="193"/>
      <c r="Z774" s="193"/>
      <c r="AA774" s="193"/>
      <c r="AB774" s="193"/>
      <c r="AC774" s="193"/>
      <c r="AD774" s="193"/>
      <c r="AE774" s="193"/>
      <c r="AF774" s="193"/>
    </row>
    <row r="775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3"/>
      <c r="X775" s="193"/>
      <c r="Y775" s="193"/>
      <c r="Z775" s="193"/>
      <c r="AA775" s="193"/>
      <c r="AB775" s="193"/>
      <c r="AC775" s="193"/>
      <c r="AD775" s="193"/>
      <c r="AE775" s="193"/>
      <c r="AF775" s="193"/>
    </row>
    <row r="776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3"/>
      <c r="X776" s="193"/>
      <c r="Y776" s="193"/>
      <c r="Z776" s="193"/>
      <c r="AA776" s="193"/>
      <c r="AB776" s="193"/>
      <c r="AC776" s="193"/>
      <c r="AD776" s="193"/>
      <c r="AE776" s="193"/>
      <c r="AF776" s="193"/>
    </row>
    <row r="777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3"/>
      <c r="X777" s="193"/>
      <c r="Y777" s="193"/>
      <c r="Z777" s="193"/>
      <c r="AA777" s="193"/>
      <c r="AB777" s="193"/>
      <c r="AC777" s="193"/>
      <c r="AD777" s="193"/>
      <c r="AE777" s="193"/>
      <c r="AF777" s="193"/>
    </row>
    <row r="778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3"/>
      <c r="X778" s="193"/>
      <c r="Y778" s="193"/>
      <c r="Z778" s="193"/>
      <c r="AA778" s="193"/>
      <c r="AB778" s="193"/>
      <c r="AC778" s="193"/>
      <c r="AD778" s="193"/>
      <c r="AE778" s="193"/>
      <c r="AF778" s="193"/>
    </row>
    <row r="779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3"/>
      <c r="X779" s="193"/>
      <c r="Y779" s="193"/>
      <c r="Z779" s="193"/>
      <c r="AA779" s="193"/>
      <c r="AB779" s="193"/>
      <c r="AC779" s="193"/>
      <c r="AD779" s="193"/>
      <c r="AE779" s="193"/>
      <c r="AF779" s="193"/>
    </row>
    <row r="780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3"/>
      <c r="X780" s="193"/>
      <c r="Y780" s="193"/>
      <c r="Z780" s="193"/>
      <c r="AA780" s="193"/>
      <c r="AB780" s="193"/>
      <c r="AC780" s="193"/>
      <c r="AD780" s="193"/>
      <c r="AE780" s="193"/>
      <c r="AF780" s="193"/>
    </row>
    <row r="781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3"/>
      <c r="X781" s="193"/>
      <c r="Y781" s="193"/>
      <c r="Z781" s="193"/>
      <c r="AA781" s="193"/>
      <c r="AB781" s="193"/>
      <c r="AC781" s="193"/>
      <c r="AD781" s="193"/>
      <c r="AE781" s="193"/>
      <c r="AF781" s="193"/>
    </row>
    <row r="782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3"/>
      <c r="X782" s="193"/>
      <c r="Y782" s="193"/>
      <c r="Z782" s="193"/>
      <c r="AA782" s="193"/>
      <c r="AB782" s="193"/>
      <c r="AC782" s="193"/>
      <c r="AD782" s="193"/>
      <c r="AE782" s="193"/>
      <c r="AF782" s="193"/>
    </row>
    <row r="783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3"/>
      <c r="X783" s="193"/>
      <c r="Y783" s="193"/>
      <c r="Z783" s="193"/>
      <c r="AA783" s="193"/>
      <c r="AB783" s="193"/>
      <c r="AC783" s="193"/>
      <c r="AD783" s="193"/>
      <c r="AE783" s="193"/>
      <c r="AF783" s="193"/>
    </row>
    <row r="784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3"/>
      <c r="X784" s="193"/>
      <c r="Y784" s="193"/>
      <c r="Z784" s="193"/>
      <c r="AA784" s="193"/>
      <c r="AB784" s="193"/>
      <c r="AC784" s="193"/>
      <c r="AD784" s="193"/>
      <c r="AE784" s="193"/>
      <c r="AF784" s="193"/>
    </row>
    <row r="785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3"/>
      <c r="X785" s="193"/>
      <c r="Y785" s="193"/>
      <c r="Z785" s="193"/>
      <c r="AA785" s="193"/>
      <c r="AB785" s="193"/>
      <c r="AC785" s="193"/>
      <c r="AD785" s="193"/>
      <c r="AE785" s="193"/>
      <c r="AF785" s="193"/>
    </row>
    <row r="786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3"/>
      <c r="X786" s="193"/>
      <c r="Y786" s="193"/>
      <c r="Z786" s="193"/>
      <c r="AA786" s="193"/>
      <c r="AB786" s="193"/>
      <c r="AC786" s="193"/>
      <c r="AD786" s="193"/>
      <c r="AE786" s="193"/>
      <c r="AF786" s="193"/>
    </row>
    <row r="787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3"/>
      <c r="X787" s="193"/>
      <c r="Y787" s="193"/>
      <c r="Z787" s="193"/>
      <c r="AA787" s="193"/>
      <c r="AB787" s="193"/>
      <c r="AC787" s="193"/>
      <c r="AD787" s="193"/>
      <c r="AE787" s="193"/>
      <c r="AF787" s="193"/>
    </row>
    <row r="788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3"/>
      <c r="X788" s="193"/>
      <c r="Y788" s="193"/>
      <c r="Z788" s="193"/>
      <c r="AA788" s="193"/>
      <c r="AB788" s="193"/>
      <c r="AC788" s="193"/>
      <c r="AD788" s="193"/>
      <c r="AE788" s="193"/>
      <c r="AF788" s="193"/>
    </row>
    <row r="789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3"/>
      <c r="X789" s="193"/>
      <c r="Y789" s="193"/>
      <c r="Z789" s="193"/>
      <c r="AA789" s="193"/>
      <c r="AB789" s="193"/>
      <c r="AC789" s="193"/>
      <c r="AD789" s="193"/>
      <c r="AE789" s="193"/>
      <c r="AF789" s="193"/>
    </row>
    <row r="790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3"/>
      <c r="X790" s="193"/>
      <c r="Y790" s="193"/>
      <c r="Z790" s="193"/>
      <c r="AA790" s="193"/>
      <c r="AB790" s="193"/>
      <c r="AC790" s="193"/>
      <c r="AD790" s="193"/>
      <c r="AE790" s="193"/>
      <c r="AF790" s="193"/>
    </row>
    <row r="791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3"/>
      <c r="X791" s="193"/>
      <c r="Y791" s="193"/>
      <c r="Z791" s="193"/>
      <c r="AA791" s="193"/>
      <c r="AB791" s="193"/>
      <c r="AC791" s="193"/>
      <c r="AD791" s="193"/>
      <c r="AE791" s="193"/>
      <c r="AF791" s="193"/>
    </row>
    <row r="792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3"/>
      <c r="X792" s="193"/>
      <c r="Y792" s="193"/>
      <c r="Z792" s="193"/>
      <c r="AA792" s="193"/>
      <c r="AB792" s="193"/>
      <c r="AC792" s="193"/>
      <c r="AD792" s="193"/>
      <c r="AE792" s="193"/>
      <c r="AF792" s="193"/>
    </row>
    <row r="793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3"/>
      <c r="X793" s="193"/>
      <c r="Y793" s="193"/>
      <c r="Z793" s="193"/>
      <c r="AA793" s="193"/>
      <c r="AB793" s="193"/>
      <c r="AC793" s="193"/>
      <c r="AD793" s="193"/>
      <c r="AE793" s="193"/>
      <c r="AF793" s="193"/>
    </row>
    <row r="794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3"/>
      <c r="X794" s="193"/>
      <c r="Y794" s="193"/>
      <c r="Z794" s="193"/>
      <c r="AA794" s="193"/>
      <c r="AB794" s="193"/>
      <c r="AC794" s="193"/>
      <c r="AD794" s="193"/>
      <c r="AE794" s="193"/>
      <c r="AF794" s="193"/>
    </row>
    <row r="795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3"/>
      <c r="X795" s="193"/>
      <c r="Y795" s="193"/>
      <c r="Z795" s="193"/>
      <c r="AA795" s="193"/>
      <c r="AB795" s="193"/>
      <c r="AC795" s="193"/>
      <c r="AD795" s="193"/>
      <c r="AE795" s="193"/>
      <c r="AF795" s="193"/>
    </row>
    <row r="796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3"/>
      <c r="X796" s="193"/>
      <c r="Y796" s="193"/>
      <c r="Z796" s="193"/>
      <c r="AA796" s="193"/>
      <c r="AB796" s="193"/>
      <c r="AC796" s="193"/>
      <c r="AD796" s="193"/>
      <c r="AE796" s="193"/>
      <c r="AF796" s="193"/>
    </row>
    <row r="797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  <c r="X797" s="193"/>
      <c r="Y797" s="193"/>
      <c r="Z797" s="193"/>
      <c r="AA797" s="193"/>
      <c r="AB797" s="193"/>
      <c r="AC797" s="193"/>
      <c r="AD797" s="193"/>
      <c r="AE797" s="193"/>
      <c r="AF797" s="193"/>
    </row>
    <row r="798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  <c r="X798" s="193"/>
      <c r="Y798" s="193"/>
      <c r="Z798" s="193"/>
      <c r="AA798" s="193"/>
      <c r="AB798" s="193"/>
      <c r="AC798" s="193"/>
      <c r="AD798" s="193"/>
      <c r="AE798" s="193"/>
      <c r="AF798" s="193"/>
    </row>
    <row r="799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  <c r="X799" s="193"/>
      <c r="Y799" s="193"/>
      <c r="Z799" s="193"/>
      <c r="AA799" s="193"/>
      <c r="AB799" s="193"/>
      <c r="AC799" s="193"/>
      <c r="AD799" s="193"/>
      <c r="AE799" s="193"/>
      <c r="AF799" s="193"/>
    </row>
    <row r="800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  <c r="X800" s="193"/>
      <c r="Y800" s="193"/>
      <c r="Z800" s="193"/>
      <c r="AA800" s="193"/>
      <c r="AB800" s="193"/>
      <c r="AC800" s="193"/>
      <c r="AD800" s="193"/>
      <c r="AE800" s="193"/>
      <c r="AF800" s="193"/>
    </row>
    <row r="801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  <c r="X801" s="193"/>
      <c r="Y801" s="193"/>
      <c r="Z801" s="193"/>
      <c r="AA801" s="193"/>
      <c r="AB801" s="193"/>
      <c r="AC801" s="193"/>
      <c r="AD801" s="193"/>
      <c r="AE801" s="193"/>
      <c r="AF801" s="193"/>
    </row>
    <row r="802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3"/>
      <c r="X802" s="193"/>
      <c r="Y802" s="193"/>
      <c r="Z802" s="193"/>
      <c r="AA802" s="193"/>
      <c r="AB802" s="193"/>
      <c r="AC802" s="193"/>
      <c r="AD802" s="193"/>
      <c r="AE802" s="193"/>
      <c r="AF802" s="193"/>
    </row>
    <row r="803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3"/>
      <c r="X803" s="193"/>
      <c r="Y803" s="193"/>
      <c r="Z803" s="193"/>
      <c r="AA803" s="193"/>
      <c r="AB803" s="193"/>
      <c r="AC803" s="193"/>
      <c r="AD803" s="193"/>
      <c r="AE803" s="193"/>
      <c r="AF803" s="193"/>
    </row>
    <row r="804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3"/>
      <c r="X804" s="193"/>
      <c r="Y804" s="193"/>
      <c r="Z804" s="193"/>
      <c r="AA804" s="193"/>
      <c r="AB804" s="193"/>
      <c r="AC804" s="193"/>
      <c r="AD804" s="193"/>
      <c r="AE804" s="193"/>
      <c r="AF804" s="193"/>
    </row>
    <row r="805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  <c r="X805" s="193"/>
      <c r="Y805" s="193"/>
      <c r="Z805" s="193"/>
      <c r="AA805" s="193"/>
      <c r="AB805" s="193"/>
      <c r="AC805" s="193"/>
      <c r="AD805" s="193"/>
      <c r="AE805" s="193"/>
      <c r="AF805" s="193"/>
    </row>
    <row r="806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3"/>
      <c r="X806" s="193"/>
      <c r="Y806" s="193"/>
      <c r="Z806" s="193"/>
      <c r="AA806" s="193"/>
      <c r="AB806" s="193"/>
      <c r="AC806" s="193"/>
      <c r="AD806" s="193"/>
      <c r="AE806" s="193"/>
      <c r="AF806" s="193"/>
    </row>
    <row r="807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3"/>
      <c r="X807" s="193"/>
      <c r="Y807" s="193"/>
      <c r="Z807" s="193"/>
      <c r="AA807" s="193"/>
      <c r="AB807" s="193"/>
      <c r="AC807" s="193"/>
      <c r="AD807" s="193"/>
      <c r="AE807" s="193"/>
      <c r="AF807" s="193"/>
    </row>
    <row r="808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3"/>
      <c r="X808" s="193"/>
      <c r="Y808" s="193"/>
      <c r="Z808" s="193"/>
      <c r="AA808" s="193"/>
      <c r="AB808" s="193"/>
      <c r="AC808" s="193"/>
      <c r="AD808" s="193"/>
      <c r="AE808" s="193"/>
      <c r="AF808" s="193"/>
    </row>
    <row r="809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3"/>
      <c r="X809" s="193"/>
      <c r="Y809" s="193"/>
      <c r="Z809" s="193"/>
      <c r="AA809" s="193"/>
      <c r="AB809" s="193"/>
      <c r="AC809" s="193"/>
      <c r="AD809" s="193"/>
      <c r="AE809" s="193"/>
      <c r="AF809" s="193"/>
    </row>
    <row r="8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3"/>
      <c r="X810" s="193"/>
      <c r="Y810" s="193"/>
      <c r="Z810" s="193"/>
      <c r="AA810" s="193"/>
      <c r="AB810" s="193"/>
      <c r="AC810" s="193"/>
      <c r="AD810" s="193"/>
      <c r="AE810" s="193"/>
      <c r="AF810" s="193"/>
    </row>
    <row r="811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3"/>
      <c r="X811" s="193"/>
      <c r="Y811" s="193"/>
      <c r="Z811" s="193"/>
      <c r="AA811" s="193"/>
      <c r="AB811" s="193"/>
      <c r="AC811" s="193"/>
      <c r="AD811" s="193"/>
      <c r="AE811" s="193"/>
      <c r="AF811" s="193"/>
    </row>
    <row r="812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3"/>
      <c r="X812" s="193"/>
      <c r="Y812" s="193"/>
      <c r="Z812" s="193"/>
      <c r="AA812" s="193"/>
      <c r="AB812" s="193"/>
      <c r="AC812" s="193"/>
      <c r="AD812" s="193"/>
      <c r="AE812" s="193"/>
      <c r="AF812" s="193"/>
    </row>
    <row r="813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3"/>
      <c r="X813" s="193"/>
      <c r="Y813" s="193"/>
      <c r="Z813" s="193"/>
      <c r="AA813" s="193"/>
      <c r="AB813" s="193"/>
      <c r="AC813" s="193"/>
      <c r="AD813" s="193"/>
      <c r="AE813" s="193"/>
      <c r="AF813" s="193"/>
    </row>
    <row r="814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3"/>
      <c r="X814" s="193"/>
      <c r="Y814" s="193"/>
      <c r="Z814" s="193"/>
      <c r="AA814" s="193"/>
      <c r="AB814" s="193"/>
      <c r="AC814" s="193"/>
      <c r="AD814" s="193"/>
      <c r="AE814" s="193"/>
      <c r="AF814" s="193"/>
    </row>
    <row r="815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3"/>
      <c r="X815" s="193"/>
      <c r="Y815" s="193"/>
      <c r="Z815" s="193"/>
      <c r="AA815" s="193"/>
      <c r="AB815" s="193"/>
      <c r="AC815" s="193"/>
      <c r="AD815" s="193"/>
      <c r="AE815" s="193"/>
      <c r="AF815" s="193"/>
    </row>
    <row r="816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3"/>
      <c r="X816" s="193"/>
      <c r="Y816" s="193"/>
      <c r="Z816" s="193"/>
      <c r="AA816" s="193"/>
      <c r="AB816" s="193"/>
      <c r="AC816" s="193"/>
      <c r="AD816" s="193"/>
      <c r="AE816" s="193"/>
      <c r="AF816" s="193"/>
    </row>
    <row r="817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3"/>
      <c r="X817" s="193"/>
      <c r="Y817" s="193"/>
      <c r="Z817" s="193"/>
      <c r="AA817" s="193"/>
      <c r="AB817" s="193"/>
      <c r="AC817" s="193"/>
      <c r="AD817" s="193"/>
      <c r="AE817" s="193"/>
      <c r="AF817" s="193"/>
    </row>
    <row r="818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3"/>
      <c r="X818" s="193"/>
      <c r="Y818" s="193"/>
      <c r="Z818" s="193"/>
      <c r="AA818" s="193"/>
      <c r="AB818" s="193"/>
      <c r="AC818" s="193"/>
      <c r="AD818" s="193"/>
      <c r="AE818" s="193"/>
      <c r="AF818" s="193"/>
    </row>
    <row r="819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3"/>
      <c r="X819" s="193"/>
      <c r="Y819" s="193"/>
      <c r="Z819" s="193"/>
      <c r="AA819" s="193"/>
      <c r="AB819" s="193"/>
      <c r="AC819" s="193"/>
      <c r="AD819" s="193"/>
      <c r="AE819" s="193"/>
      <c r="AF819" s="193"/>
    </row>
    <row r="820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3"/>
      <c r="X820" s="193"/>
      <c r="Y820" s="193"/>
      <c r="Z820" s="193"/>
      <c r="AA820" s="193"/>
      <c r="AB820" s="193"/>
      <c r="AC820" s="193"/>
      <c r="AD820" s="193"/>
      <c r="AE820" s="193"/>
      <c r="AF820" s="193"/>
    </row>
    <row r="821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  <c r="X821" s="193"/>
      <c r="Y821" s="193"/>
      <c r="Z821" s="193"/>
      <c r="AA821" s="193"/>
      <c r="AB821" s="193"/>
      <c r="AC821" s="193"/>
      <c r="AD821" s="193"/>
      <c r="AE821" s="193"/>
      <c r="AF821" s="193"/>
    </row>
    <row r="822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  <c r="X822" s="193"/>
      <c r="Y822" s="193"/>
      <c r="Z822" s="193"/>
      <c r="AA822" s="193"/>
      <c r="AB822" s="193"/>
      <c r="AC822" s="193"/>
      <c r="AD822" s="193"/>
      <c r="AE822" s="193"/>
      <c r="AF822" s="193"/>
    </row>
    <row r="823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  <c r="X823" s="193"/>
      <c r="Y823" s="193"/>
      <c r="Z823" s="193"/>
      <c r="AA823" s="193"/>
      <c r="AB823" s="193"/>
      <c r="AC823" s="193"/>
      <c r="AD823" s="193"/>
      <c r="AE823" s="193"/>
      <c r="AF823" s="193"/>
    </row>
    <row r="824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3"/>
      <c r="X824" s="193"/>
      <c r="Y824" s="193"/>
      <c r="Z824" s="193"/>
      <c r="AA824" s="193"/>
      <c r="AB824" s="193"/>
      <c r="AC824" s="193"/>
      <c r="AD824" s="193"/>
      <c r="AE824" s="193"/>
      <c r="AF824" s="193"/>
    </row>
    <row r="825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3"/>
      <c r="X825" s="193"/>
      <c r="Y825" s="193"/>
      <c r="Z825" s="193"/>
      <c r="AA825" s="193"/>
      <c r="AB825" s="193"/>
      <c r="AC825" s="193"/>
      <c r="AD825" s="193"/>
      <c r="AE825" s="193"/>
      <c r="AF825" s="193"/>
    </row>
    <row r="826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3"/>
      <c r="X826" s="193"/>
      <c r="Y826" s="193"/>
      <c r="Z826" s="193"/>
      <c r="AA826" s="193"/>
      <c r="AB826" s="193"/>
      <c r="AC826" s="193"/>
      <c r="AD826" s="193"/>
      <c r="AE826" s="193"/>
      <c r="AF826" s="193"/>
    </row>
    <row r="827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3"/>
      <c r="X827" s="193"/>
      <c r="Y827" s="193"/>
      <c r="Z827" s="193"/>
      <c r="AA827" s="193"/>
      <c r="AB827" s="193"/>
      <c r="AC827" s="193"/>
      <c r="AD827" s="193"/>
      <c r="AE827" s="193"/>
      <c r="AF827" s="193"/>
    </row>
    <row r="828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3"/>
      <c r="X828" s="193"/>
      <c r="Y828" s="193"/>
      <c r="Z828" s="193"/>
      <c r="AA828" s="193"/>
      <c r="AB828" s="193"/>
      <c r="AC828" s="193"/>
      <c r="AD828" s="193"/>
      <c r="AE828" s="193"/>
      <c r="AF828" s="193"/>
    </row>
    <row r="829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3"/>
      <c r="X829" s="193"/>
      <c r="Y829" s="193"/>
      <c r="Z829" s="193"/>
      <c r="AA829" s="193"/>
      <c r="AB829" s="193"/>
      <c r="AC829" s="193"/>
      <c r="AD829" s="193"/>
      <c r="AE829" s="193"/>
      <c r="AF829" s="193"/>
    </row>
    <row r="830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3"/>
      <c r="X830" s="193"/>
      <c r="Y830" s="193"/>
      <c r="Z830" s="193"/>
      <c r="AA830" s="193"/>
      <c r="AB830" s="193"/>
      <c r="AC830" s="193"/>
      <c r="AD830" s="193"/>
      <c r="AE830" s="193"/>
      <c r="AF830" s="193"/>
    </row>
    <row r="831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3"/>
      <c r="X831" s="193"/>
      <c r="Y831" s="193"/>
      <c r="Z831" s="193"/>
      <c r="AA831" s="193"/>
      <c r="AB831" s="193"/>
      <c r="AC831" s="193"/>
      <c r="AD831" s="193"/>
      <c r="AE831" s="193"/>
      <c r="AF831" s="193"/>
    </row>
    <row r="832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3"/>
      <c r="X832" s="193"/>
      <c r="Y832" s="193"/>
      <c r="Z832" s="193"/>
      <c r="AA832" s="193"/>
      <c r="AB832" s="193"/>
      <c r="AC832" s="193"/>
      <c r="AD832" s="193"/>
      <c r="AE832" s="193"/>
      <c r="AF832" s="193"/>
    </row>
    <row r="833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3"/>
      <c r="X833" s="193"/>
      <c r="Y833" s="193"/>
      <c r="Z833" s="193"/>
      <c r="AA833" s="193"/>
      <c r="AB833" s="193"/>
      <c r="AC833" s="193"/>
      <c r="AD833" s="193"/>
      <c r="AE833" s="193"/>
      <c r="AF833" s="193"/>
    </row>
    <row r="834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3"/>
      <c r="X834" s="193"/>
      <c r="Y834" s="193"/>
      <c r="Z834" s="193"/>
      <c r="AA834" s="193"/>
      <c r="AB834" s="193"/>
      <c r="AC834" s="193"/>
      <c r="AD834" s="193"/>
      <c r="AE834" s="193"/>
      <c r="AF834" s="193"/>
    </row>
    <row r="835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3"/>
      <c r="X835" s="193"/>
      <c r="Y835" s="193"/>
      <c r="Z835" s="193"/>
      <c r="AA835" s="193"/>
      <c r="AB835" s="193"/>
      <c r="AC835" s="193"/>
      <c r="AD835" s="193"/>
      <c r="AE835" s="193"/>
      <c r="AF835" s="193"/>
    </row>
    <row r="836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3"/>
      <c r="X836" s="193"/>
      <c r="Y836" s="193"/>
      <c r="Z836" s="193"/>
      <c r="AA836" s="193"/>
      <c r="AB836" s="193"/>
      <c r="AC836" s="193"/>
      <c r="AD836" s="193"/>
      <c r="AE836" s="193"/>
      <c r="AF836" s="193"/>
    </row>
    <row r="837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3"/>
      <c r="X837" s="193"/>
      <c r="Y837" s="193"/>
      <c r="Z837" s="193"/>
      <c r="AA837" s="193"/>
      <c r="AB837" s="193"/>
      <c r="AC837" s="193"/>
      <c r="AD837" s="193"/>
      <c r="AE837" s="193"/>
      <c r="AF837" s="193"/>
    </row>
    <row r="838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3"/>
      <c r="X838" s="193"/>
      <c r="Y838" s="193"/>
      <c r="Z838" s="193"/>
      <c r="AA838" s="193"/>
      <c r="AB838" s="193"/>
      <c r="AC838" s="193"/>
      <c r="AD838" s="193"/>
      <c r="AE838" s="193"/>
      <c r="AF838" s="193"/>
    </row>
    <row r="839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3"/>
      <c r="X839" s="193"/>
      <c r="Y839" s="193"/>
      <c r="Z839" s="193"/>
      <c r="AA839" s="193"/>
      <c r="AB839" s="193"/>
      <c r="AC839" s="193"/>
      <c r="AD839" s="193"/>
      <c r="AE839" s="193"/>
      <c r="AF839" s="193"/>
    </row>
    <row r="840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3"/>
      <c r="X840" s="193"/>
      <c r="Y840" s="193"/>
      <c r="Z840" s="193"/>
      <c r="AA840" s="193"/>
      <c r="AB840" s="193"/>
      <c r="AC840" s="193"/>
      <c r="AD840" s="193"/>
      <c r="AE840" s="193"/>
      <c r="AF840" s="193"/>
    </row>
    <row r="841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3"/>
      <c r="X841" s="193"/>
      <c r="Y841" s="193"/>
      <c r="Z841" s="193"/>
      <c r="AA841" s="193"/>
      <c r="AB841" s="193"/>
      <c r="AC841" s="193"/>
      <c r="AD841" s="193"/>
      <c r="AE841" s="193"/>
      <c r="AF841" s="193"/>
    </row>
    <row r="842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3"/>
      <c r="X842" s="193"/>
      <c r="Y842" s="193"/>
      <c r="Z842" s="193"/>
      <c r="AA842" s="193"/>
      <c r="AB842" s="193"/>
      <c r="AC842" s="193"/>
      <c r="AD842" s="193"/>
      <c r="AE842" s="193"/>
      <c r="AF842" s="193"/>
    </row>
    <row r="843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  <c r="W843" s="193"/>
      <c r="X843" s="193"/>
      <c r="Y843" s="193"/>
      <c r="Z843" s="193"/>
      <c r="AA843" s="193"/>
      <c r="AB843" s="193"/>
      <c r="AC843" s="193"/>
      <c r="AD843" s="193"/>
      <c r="AE843" s="193"/>
      <c r="AF843" s="193"/>
    </row>
    <row r="844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  <c r="W844" s="193"/>
      <c r="X844" s="193"/>
      <c r="Y844" s="193"/>
      <c r="Z844" s="193"/>
      <c r="AA844" s="193"/>
      <c r="AB844" s="193"/>
      <c r="AC844" s="193"/>
      <c r="AD844" s="193"/>
      <c r="AE844" s="193"/>
      <c r="AF844" s="193"/>
    </row>
    <row r="845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  <c r="W845" s="193"/>
      <c r="X845" s="193"/>
      <c r="Y845" s="193"/>
      <c r="Z845" s="193"/>
      <c r="AA845" s="193"/>
      <c r="AB845" s="193"/>
      <c r="AC845" s="193"/>
      <c r="AD845" s="193"/>
      <c r="AE845" s="193"/>
      <c r="AF845" s="193"/>
    </row>
    <row r="846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  <c r="W846" s="193"/>
      <c r="X846" s="193"/>
      <c r="Y846" s="193"/>
      <c r="Z846" s="193"/>
      <c r="AA846" s="193"/>
      <c r="AB846" s="193"/>
      <c r="AC846" s="193"/>
      <c r="AD846" s="193"/>
      <c r="AE846" s="193"/>
      <c r="AF846" s="193"/>
    </row>
    <row r="847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  <c r="W847" s="193"/>
      <c r="X847" s="193"/>
      <c r="Y847" s="193"/>
      <c r="Z847" s="193"/>
      <c r="AA847" s="193"/>
      <c r="AB847" s="193"/>
      <c r="AC847" s="193"/>
      <c r="AD847" s="193"/>
      <c r="AE847" s="193"/>
      <c r="AF847" s="193"/>
    </row>
    <row r="848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  <c r="W848" s="193"/>
      <c r="X848" s="193"/>
      <c r="Y848" s="193"/>
      <c r="Z848" s="193"/>
      <c r="AA848" s="193"/>
      <c r="AB848" s="193"/>
      <c r="AC848" s="193"/>
      <c r="AD848" s="193"/>
      <c r="AE848" s="193"/>
      <c r="AF848" s="193"/>
    </row>
    <row r="849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  <c r="W849" s="193"/>
      <c r="X849" s="193"/>
      <c r="Y849" s="193"/>
      <c r="Z849" s="193"/>
      <c r="AA849" s="193"/>
      <c r="AB849" s="193"/>
      <c r="AC849" s="193"/>
      <c r="AD849" s="193"/>
      <c r="AE849" s="193"/>
      <c r="AF849" s="193"/>
    </row>
    <row r="850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  <c r="W850" s="193"/>
      <c r="X850" s="193"/>
      <c r="Y850" s="193"/>
      <c r="Z850" s="193"/>
      <c r="AA850" s="193"/>
      <c r="AB850" s="193"/>
      <c r="AC850" s="193"/>
      <c r="AD850" s="193"/>
      <c r="AE850" s="193"/>
      <c r="AF850" s="193"/>
    </row>
    <row r="851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  <c r="W851" s="193"/>
      <c r="X851" s="193"/>
      <c r="Y851" s="193"/>
      <c r="Z851" s="193"/>
      <c r="AA851" s="193"/>
      <c r="AB851" s="193"/>
      <c r="AC851" s="193"/>
      <c r="AD851" s="193"/>
      <c r="AE851" s="193"/>
      <c r="AF851" s="193"/>
    </row>
    <row r="852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  <c r="W852" s="193"/>
      <c r="X852" s="193"/>
      <c r="Y852" s="193"/>
      <c r="Z852" s="193"/>
      <c r="AA852" s="193"/>
      <c r="AB852" s="193"/>
      <c r="AC852" s="193"/>
      <c r="AD852" s="193"/>
      <c r="AE852" s="193"/>
      <c r="AF852" s="193"/>
    </row>
    <row r="853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  <c r="W853" s="193"/>
      <c r="X853" s="193"/>
      <c r="Y853" s="193"/>
      <c r="Z853" s="193"/>
      <c r="AA853" s="193"/>
      <c r="AB853" s="193"/>
      <c r="AC853" s="193"/>
      <c r="AD853" s="193"/>
      <c r="AE853" s="193"/>
      <c r="AF853" s="193"/>
    </row>
    <row r="854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  <c r="W854" s="193"/>
      <c r="X854" s="193"/>
      <c r="Y854" s="193"/>
      <c r="Z854" s="193"/>
      <c r="AA854" s="193"/>
      <c r="AB854" s="193"/>
      <c r="AC854" s="193"/>
      <c r="AD854" s="193"/>
      <c r="AE854" s="193"/>
      <c r="AF854" s="193"/>
    </row>
    <row r="855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  <c r="W855" s="193"/>
      <c r="X855" s="193"/>
      <c r="Y855" s="193"/>
      <c r="Z855" s="193"/>
      <c r="AA855" s="193"/>
      <c r="AB855" s="193"/>
      <c r="AC855" s="193"/>
      <c r="AD855" s="193"/>
      <c r="AE855" s="193"/>
      <c r="AF855" s="193"/>
    </row>
    <row r="856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  <c r="W856" s="193"/>
      <c r="X856" s="193"/>
      <c r="Y856" s="193"/>
      <c r="Z856" s="193"/>
      <c r="AA856" s="193"/>
      <c r="AB856" s="193"/>
      <c r="AC856" s="193"/>
      <c r="AD856" s="193"/>
      <c r="AE856" s="193"/>
      <c r="AF856" s="193"/>
    </row>
    <row r="857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  <c r="W857" s="193"/>
      <c r="X857" s="193"/>
      <c r="Y857" s="193"/>
      <c r="Z857" s="193"/>
      <c r="AA857" s="193"/>
      <c r="AB857" s="193"/>
      <c r="AC857" s="193"/>
      <c r="AD857" s="193"/>
      <c r="AE857" s="193"/>
      <c r="AF857" s="193"/>
    </row>
    <row r="858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  <c r="W858" s="193"/>
      <c r="X858" s="193"/>
      <c r="Y858" s="193"/>
      <c r="Z858" s="193"/>
      <c r="AA858" s="193"/>
      <c r="AB858" s="193"/>
      <c r="AC858" s="193"/>
      <c r="AD858" s="193"/>
      <c r="AE858" s="193"/>
      <c r="AF858" s="193"/>
    </row>
    <row r="859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  <c r="W859" s="193"/>
      <c r="X859" s="193"/>
      <c r="Y859" s="193"/>
      <c r="Z859" s="193"/>
      <c r="AA859" s="193"/>
      <c r="AB859" s="193"/>
      <c r="AC859" s="193"/>
      <c r="AD859" s="193"/>
      <c r="AE859" s="193"/>
      <c r="AF859" s="193"/>
    </row>
    <row r="860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  <c r="W860" s="193"/>
      <c r="X860" s="193"/>
      <c r="Y860" s="193"/>
      <c r="Z860" s="193"/>
      <c r="AA860" s="193"/>
      <c r="AB860" s="193"/>
      <c r="AC860" s="193"/>
      <c r="AD860" s="193"/>
      <c r="AE860" s="193"/>
      <c r="AF860" s="193"/>
    </row>
    <row r="861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  <c r="W861" s="193"/>
      <c r="X861" s="193"/>
      <c r="Y861" s="193"/>
      <c r="Z861" s="193"/>
      <c r="AA861" s="193"/>
      <c r="AB861" s="193"/>
      <c r="AC861" s="193"/>
      <c r="AD861" s="193"/>
      <c r="AE861" s="193"/>
      <c r="AF861" s="193"/>
    </row>
    <row r="862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  <c r="W862" s="193"/>
      <c r="X862" s="193"/>
      <c r="Y862" s="193"/>
      <c r="Z862" s="193"/>
      <c r="AA862" s="193"/>
      <c r="AB862" s="193"/>
      <c r="AC862" s="193"/>
      <c r="AD862" s="193"/>
      <c r="AE862" s="193"/>
      <c r="AF862" s="193"/>
    </row>
    <row r="863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  <c r="W863" s="193"/>
      <c r="X863" s="193"/>
      <c r="Y863" s="193"/>
      <c r="Z863" s="193"/>
      <c r="AA863" s="193"/>
      <c r="AB863" s="193"/>
      <c r="AC863" s="193"/>
      <c r="AD863" s="193"/>
      <c r="AE863" s="193"/>
      <c r="AF863" s="193"/>
    </row>
    <row r="864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  <c r="W864" s="193"/>
      <c r="X864" s="193"/>
      <c r="Y864" s="193"/>
      <c r="Z864" s="193"/>
      <c r="AA864" s="193"/>
      <c r="AB864" s="193"/>
      <c r="AC864" s="193"/>
      <c r="AD864" s="193"/>
      <c r="AE864" s="193"/>
      <c r="AF864" s="193"/>
    </row>
    <row r="865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  <c r="W865" s="193"/>
      <c r="X865" s="193"/>
      <c r="Y865" s="193"/>
      <c r="Z865" s="193"/>
      <c r="AA865" s="193"/>
      <c r="AB865" s="193"/>
      <c r="AC865" s="193"/>
      <c r="AD865" s="193"/>
      <c r="AE865" s="193"/>
      <c r="AF865" s="193"/>
    </row>
    <row r="866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  <c r="W866" s="193"/>
      <c r="X866" s="193"/>
      <c r="Y866" s="193"/>
      <c r="Z866" s="193"/>
      <c r="AA866" s="193"/>
      <c r="AB866" s="193"/>
      <c r="AC866" s="193"/>
      <c r="AD866" s="193"/>
      <c r="AE866" s="193"/>
      <c r="AF866" s="193"/>
    </row>
    <row r="867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3"/>
      <c r="X867" s="193"/>
      <c r="Y867" s="193"/>
      <c r="Z867" s="193"/>
      <c r="AA867" s="193"/>
      <c r="AB867" s="193"/>
      <c r="AC867" s="193"/>
      <c r="AD867" s="193"/>
      <c r="AE867" s="193"/>
      <c r="AF867" s="193"/>
    </row>
    <row r="868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  <c r="W868" s="193"/>
      <c r="X868" s="193"/>
      <c r="Y868" s="193"/>
      <c r="Z868" s="193"/>
      <c r="AA868" s="193"/>
      <c r="AB868" s="193"/>
      <c r="AC868" s="193"/>
      <c r="AD868" s="193"/>
      <c r="AE868" s="193"/>
      <c r="AF868" s="193"/>
    </row>
    <row r="869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  <c r="W869" s="193"/>
      <c r="X869" s="193"/>
      <c r="Y869" s="193"/>
      <c r="Z869" s="193"/>
      <c r="AA869" s="193"/>
      <c r="AB869" s="193"/>
      <c r="AC869" s="193"/>
      <c r="AD869" s="193"/>
      <c r="AE869" s="193"/>
      <c r="AF869" s="193"/>
    </row>
    <row r="870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  <c r="W870" s="193"/>
      <c r="X870" s="193"/>
      <c r="Y870" s="193"/>
      <c r="Z870" s="193"/>
      <c r="AA870" s="193"/>
      <c r="AB870" s="193"/>
      <c r="AC870" s="193"/>
      <c r="AD870" s="193"/>
      <c r="AE870" s="193"/>
      <c r="AF870" s="193"/>
    </row>
    <row r="871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  <c r="W871" s="193"/>
      <c r="X871" s="193"/>
      <c r="Y871" s="193"/>
      <c r="Z871" s="193"/>
      <c r="AA871" s="193"/>
      <c r="AB871" s="193"/>
      <c r="AC871" s="193"/>
      <c r="AD871" s="193"/>
      <c r="AE871" s="193"/>
      <c r="AF871" s="193"/>
    </row>
    <row r="872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  <c r="W872" s="193"/>
      <c r="X872" s="193"/>
      <c r="Y872" s="193"/>
      <c r="Z872" s="193"/>
      <c r="AA872" s="193"/>
      <c r="AB872" s="193"/>
      <c r="AC872" s="193"/>
      <c r="AD872" s="193"/>
      <c r="AE872" s="193"/>
      <c r="AF872" s="193"/>
    </row>
    <row r="873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  <c r="W873" s="193"/>
      <c r="X873" s="193"/>
      <c r="Y873" s="193"/>
      <c r="Z873" s="193"/>
      <c r="AA873" s="193"/>
      <c r="AB873" s="193"/>
      <c r="AC873" s="193"/>
      <c r="AD873" s="193"/>
      <c r="AE873" s="193"/>
      <c r="AF873" s="193"/>
    </row>
    <row r="874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  <c r="W874" s="193"/>
      <c r="X874" s="193"/>
      <c r="Y874" s="193"/>
      <c r="Z874" s="193"/>
      <c r="AA874" s="193"/>
      <c r="AB874" s="193"/>
      <c r="AC874" s="193"/>
      <c r="AD874" s="193"/>
      <c r="AE874" s="193"/>
      <c r="AF874" s="193"/>
    </row>
    <row r="875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  <c r="W875" s="193"/>
      <c r="X875" s="193"/>
      <c r="Y875" s="193"/>
      <c r="Z875" s="193"/>
      <c r="AA875" s="193"/>
      <c r="AB875" s="193"/>
      <c r="AC875" s="193"/>
      <c r="AD875" s="193"/>
      <c r="AE875" s="193"/>
      <c r="AF875" s="193"/>
    </row>
    <row r="876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  <c r="W876" s="193"/>
      <c r="X876" s="193"/>
      <c r="Y876" s="193"/>
      <c r="Z876" s="193"/>
      <c r="AA876" s="193"/>
      <c r="AB876" s="193"/>
      <c r="AC876" s="193"/>
      <c r="AD876" s="193"/>
      <c r="AE876" s="193"/>
      <c r="AF876" s="193"/>
    </row>
    <row r="877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  <c r="W877" s="193"/>
      <c r="X877" s="193"/>
      <c r="Y877" s="193"/>
      <c r="Z877" s="193"/>
      <c r="AA877" s="193"/>
      <c r="AB877" s="193"/>
      <c r="AC877" s="193"/>
      <c r="AD877" s="193"/>
      <c r="AE877" s="193"/>
      <c r="AF877" s="193"/>
    </row>
    <row r="878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  <c r="W878" s="193"/>
      <c r="X878" s="193"/>
      <c r="Y878" s="193"/>
      <c r="Z878" s="193"/>
      <c r="AA878" s="193"/>
      <c r="AB878" s="193"/>
      <c r="AC878" s="193"/>
      <c r="AD878" s="193"/>
      <c r="AE878" s="193"/>
      <c r="AF878" s="193"/>
    </row>
    <row r="879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  <c r="W879" s="193"/>
      <c r="X879" s="193"/>
      <c r="Y879" s="193"/>
      <c r="Z879" s="193"/>
      <c r="AA879" s="193"/>
      <c r="AB879" s="193"/>
      <c r="AC879" s="193"/>
      <c r="AD879" s="193"/>
      <c r="AE879" s="193"/>
      <c r="AF879" s="193"/>
    </row>
    <row r="880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  <c r="W880" s="193"/>
      <c r="X880" s="193"/>
      <c r="Y880" s="193"/>
      <c r="Z880" s="193"/>
      <c r="AA880" s="193"/>
      <c r="AB880" s="193"/>
      <c r="AC880" s="193"/>
      <c r="AD880" s="193"/>
      <c r="AE880" s="193"/>
      <c r="AF880" s="193"/>
    </row>
    <row r="881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  <c r="W881" s="193"/>
      <c r="X881" s="193"/>
      <c r="Y881" s="193"/>
      <c r="Z881" s="193"/>
      <c r="AA881" s="193"/>
      <c r="AB881" s="193"/>
      <c r="AC881" s="193"/>
      <c r="AD881" s="193"/>
      <c r="AE881" s="193"/>
      <c r="AF881" s="193"/>
    </row>
    <row r="882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  <c r="W882" s="193"/>
      <c r="X882" s="193"/>
      <c r="Y882" s="193"/>
      <c r="Z882" s="193"/>
      <c r="AA882" s="193"/>
      <c r="AB882" s="193"/>
      <c r="AC882" s="193"/>
      <c r="AD882" s="193"/>
      <c r="AE882" s="193"/>
      <c r="AF882" s="193"/>
    </row>
    <row r="883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  <c r="W883" s="193"/>
      <c r="X883" s="193"/>
      <c r="Y883" s="193"/>
      <c r="Z883" s="193"/>
      <c r="AA883" s="193"/>
      <c r="AB883" s="193"/>
      <c r="AC883" s="193"/>
      <c r="AD883" s="193"/>
      <c r="AE883" s="193"/>
      <c r="AF883" s="193"/>
    </row>
    <row r="884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  <c r="W884" s="193"/>
      <c r="X884" s="193"/>
      <c r="Y884" s="193"/>
      <c r="Z884" s="193"/>
      <c r="AA884" s="193"/>
      <c r="AB884" s="193"/>
      <c r="AC884" s="193"/>
      <c r="AD884" s="193"/>
      <c r="AE884" s="193"/>
      <c r="AF884" s="193"/>
    </row>
    <row r="885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  <c r="W885" s="193"/>
      <c r="X885" s="193"/>
      <c r="Y885" s="193"/>
      <c r="Z885" s="193"/>
      <c r="AA885" s="193"/>
      <c r="AB885" s="193"/>
      <c r="AC885" s="193"/>
      <c r="AD885" s="193"/>
      <c r="AE885" s="193"/>
      <c r="AF885" s="193"/>
    </row>
    <row r="886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  <c r="W886" s="193"/>
      <c r="X886" s="193"/>
      <c r="Y886" s="193"/>
      <c r="Z886" s="193"/>
      <c r="AA886" s="193"/>
      <c r="AB886" s="193"/>
      <c r="AC886" s="193"/>
      <c r="AD886" s="193"/>
      <c r="AE886" s="193"/>
      <c r="AF886" s="193"/>
    </row>
    <row r="887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  <c r="W887" s="193"/>
      <c r="X887" s="193"/>
      <c r="Y887" s="193"/>
      <c r="Z887" s="193"/>
      <c r="AA887" s="193"/>
      <c r="AB887" s="193"/>
      <c r="AC887" s="193"/>
      <c r="AD887" s="193"/>
      <c r="AE887" s="193"/>
      <c r="AF887" s="193"/>
    </row>
    <row r="888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  <c r="W888" s="193"/>
      <c r="X888" s="193"/>
      <c r="Y888" s="193"/>
      <c r="Z888" s="193"/>
      <c r="AA888" s="193"/>
      <c r="AB888" s="193"/>
      <c r="AC888" s="193"/>
      <c r="AD888" s="193"/>
      <c r="AE888" s="193"/>
      <c r="AF888" s="193"/>
    </row>
    <row r="889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  <c r="W889" s="193"/>
      <c r="X889" s="193"/>
      <c r="Y889" s="193"/>
      <c r="Z889" s="193"/>
      <c r="AA889" s="193"/>
      <c r="AB889" s="193"/>
      <c r="AC889" s="193"/>
      <c r="AD889" s="193"/>
      <c r="AE889" s="193"/>
      <c r="AF889" s="193"/>
    </row>
    <row r="890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  <c r="W890" s="193"/>
      <c r="X890" s="193"/>
      <c r="Y890" s="193"/>
      <c r="Z890" s="193"/>
      <c r="AA890" s="193"/>
      <c r="AB890" s="193"/>
      <c r="AC890" s="193"/>
      <c r="AD890" s="193"/>
      <c r="AE890" s="193"/>
      <c r="AF890" s="193"/>
    </row>
    <row r="891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  <c r="W891" s="193"/>
      <c r="X891" s="193"/>
      <c r="Y891" s="193"/>
      <c r="Z891" s="193"/>
      <c r="AA891" s="193"/>
      <c r="AB891" s="193"/>
      <c r="AC891" s="193"/>
      <c r="AD891" s="193"/>
      <c r="AE891" s="193"/>
      <c r="AF891" s="193"/>
    </row>
    <row r="892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  <c r="W892" s="193"/>
      <c r="X892" s="193"/>
      <c r="Y892" s="193"/>
      <c r="Z892" s="193"/>
      <c r="AA892" s="193"/>
      <c r="AB892" s="193"/>
      <c r="AC892" s="193"/>
      <c r="AD892" s="193"/>
      <c r="AE892" s="193"/>
      <c r="AF892" s="193"/>
    </row>
    <row r="893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  <c r="W893" s="193"/>
      <c r="X893" s="193"/>
      <c r="Y893" s="193"/>
      <c r="Z893" s="193"/>
      <c r="AA893" s="193"/>
      <c r="AB893" s="193"/>
      <c r="AC893" s="193"/>
      <c r="AD893" s="193"/>
      <c r="AE893" s="193"/>
      <c r="AF893" s="193"/>
    </row>
    <row r="894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  <c r="W894" s="193"/>
      <c r="X894" s="193"/>
      <c r="Y894" s="193"/>
      <c r="Z894" s="193"/>
      <c r="AA894" s="193"/>
      <c r="AB894" s="193"/>
      <c r="AC894" s="193"/>
      <c r="AD894" s="193"/>
      <c r="AE894" s="193"/>
      <c r="AF894" s="193"/>
    </row>
    <row r="895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  <c r="W895" s="193"/>
      <c r="X895" s="193"/>
      <c r="Y895" s="193"/>
      <c r="Z895" s="193"/>
      <c r="AA895" s="193"/>
      <c r="AB895" s="193"/>
      <c r="AC895" s="193"/>
      <c r="AD895" s="193"/>
      <c r="AE895" s="193"/>
      <c r="AF895" s="193"/>
    </row>
    <row r="896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  <c r="W896" s="193"/>
      <c r="X896" s="193"/>
      <c r="Y896" s="193"/>
      <c r="Z896" s="193"/>
      <c r="AA896" s="193"/>
      <c r="AB896" s="193"/>
      <c r="AC896" s="193"/>
      <c r="AD896" s="193"/>
      <c r="AE896" s="193"/>
      <c r="AF896" s="193"/>
    </row>
    <row r="897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  <c r="W897" s="193"/>
      <c r="X897" s="193"/>
      <c r="Y897" s="193"/>
      <c r="Z897" s="193"/>
      <c r="AA897" s="193"/>
      <c r="AB897" s="193"/>
      <c r="AC897" s="193"/>
      <c r="AD897" s="193"/>
      <c r="AE897" s="193"/>
      <c r="AF897" s="193"/>
    </row>
    <row r="898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  <c r="W898" s="193"/>
      <c r="X898" s="193"/>
      <c r="Y898" s="193"/>
      <c r="Z898" s="193"/>
      <c r="AA898" s="193"/>
      <c r="AB898" s="193"/>
      <c r="AC898" s="193"/>
      <c r="AD898" s="193"/>
      <c r="AE898" s="193"/>
      <c r="AF898" s="193"/>
    </row>
    <row r="899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  <c r="W899" s="193"/>
      <c r="X899" s="193"/>
      <c r="Y899" s="193"/>
      <c r="Z899" s="193"/>
      <c r="AA899" s="193"/>
      <c r="AB899" s="193"/>
      <c r="AC899" s="193"/>
      <c r="AD899" s="193"/>
      <c r="AE899" s="193"/>
      <c r="AF899" s="193"/>
    </row>
    <row r="900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  <c r="W900" s="193"/>
      <c r="X900" s="193"/>
      <c r="Y900" s="193"/>
      <c r="Z900" s="193"/>
      <c r="AA900" s="193"/>
      <c r="AB900" s="193"/>
      <c r="AC900" s="193"/>
      <c r="AD900" s="193"/>
      <c r="AE900" s="193"/>
      <c r="AF900" s="193"/>
    </row>
    <row r="901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  <c r="W901" s="193"/>
      <c r="X901" s="193"/>
      <c r="Y901" s="193"/>
      <c r="Z901" s="193"/>
      <c r="AA901" s="193"/>
      <c r="AB901" s="193"/>
      <c r="AC901" s="193"/>
      <c r="AD901" s="193"/>
      <c r="AE901" s="193"/>
      <c r="AF901" s="193"/>
    </row>
    <row r="902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  <c r="W902" s="193"/>
      <c r="X902" s="193"/>
      <c r="Y902" s="193"/>
      <c r="Z902" s="193"/>
      <c r="AA902" s="193"/>
      <c r="AB902" s="193"/>
      <c r="AC902" s="193"/>
      <c r="AD902" s="193"/>
      <c r="AE902" s="193"/>
      <c r="AF902" s="193"/>
    </row>
    <row r="903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  <c r="W903" s="193"/>
      <c r="X903" s="193"/>
      <c r="Y903" s="193"/>
      <c r="Z903" s="193"/>
      <c r="AA903" s="193"/>
      <c r="AB903" s="193"/>
      <c r="AC903" s="193"/>
      <c r="AD903" s="193"/>
      <c r="AE903" s="193"/>
      <c r="AF903" s="193"/>
    </row>
    <row r="904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  <c r="W904" s="193"/>
      <c r="X904" s="193"/>
      <c r="Y904" s="193"/>
      <c r="Z904" s="193"/>
      <c r="AA904" s="193"/>
      <c r="AB904" s="193"/>
      <c r="AC904" s="193"/>
      <c r="AD904" s="193"/>
      <c r="AE904" s="193"/>
      <c r="AF904" s="193"/>
    </row>
    <row r="905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  <c r="W905" s="193"/>
      <c r="X905" s="193"/>
      <c r="Y905" s="193"/>
      <c r="Z905" s="193"/>
      <c r="AA905" s="193"/>
      <c r="AB905" s="193"/>
      <c r="AC905" s="193"/>
      <c r="AD905" s="193"/>
      <c r="AE905" s="193"/>
      <c r="AF905" s="193"/>
    </row>
    <row r="906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  <c r="W906" s="193"/>
      <c r="X906" s="193"/>
      <c r="Y906" s="193"/>
      <c r="Z906" s="193"/>
      <c r="AA906" s="193"/>
      <c r="AB906" s="193"/>
      <c r="AC906" s="193"/>
      <c r="AD906" s="193"/>
      <c r="AE906" s="193"/>
      <c r="AF906" s="193"/>
    </row>
    <row r="907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  <c r="W907" s="193"/>
      <c r="X907" s="193"/>
      <c r="Y907" s="193"/>
      <c r="Z907" s="193"/>
      <c r="AA907" s="193"/>
      <c r="AB907" s="193"/>
      <c r="AC907" s="193"/>
      <c r="AD907" s="193"/>
      <c r="AE907" s="193"/>
      <c r="AF907" s="193"/>
    </row>
    <row r="908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  <c r="W908" s="193"/>
      <c r="X908" s="193"/>
      <c r="Y908" s="193"/>
      <c r="Z908" s="193"/>
      <c r="AA908" s="193"/>
      <c r="AB908" s="193"/>
      <c r="AC908" s="193"/>
      <c r="AD908" s="193"/>
      <c r="AE908" s="193"/>
      <c r="AF908" s="193"/>
    </row>
    <row r="909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  <c r="W909" s="193"/>
      <c r="X909" s="193"/>
      <c r="Y909" s="193"/>
      <c r="Z909" s="193"/>
      <c r="AA909" s="193"/>
      <c r="AB909" s="193"/>
      <c r="AC909" s="193"/>
      <c r="AD909" s="193"/>
      <c r="AE909" s="193"/>
      <c r="AF909" s="193"/>
    </row>
    <row r="9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  <c r="W910" s="193"/>
      <c r="X910" s="193"/>
      <c r="Y910" s="193"/>
      <c r="Z910" s="193"/>
      <c r="AA910" s="193"/>
      <c r="AB910" s="193"/>
      <c r="AC910" s="193"/>
      <c r="AD910" s="193"/>
      <c r="AE910" s="193"/>
      <c r="AF910" s="193"/>
    </row>
    <row r="911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  <c r="W911" s="193"/>
      <c r="X911" s="193"/>
      <c r="Y911" s="193"/>
      <c r="Z911" s="193"/>
      <c r="AA911" s="193"/>
      <c r="AB911" s="193"/>
      <c r="AC911" s="193"/>
      <c r="AD911" s="193"/>
      <c r="AE911" s="193"/>
      <c r="AF911" s="193"/>
    </row>
    <row r="912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  <c r="X912" s="193"/>
      <c r="Y912" s="193"/>
      <c r="Z912" s="193"/>
      <c r="AA912" s="193"/>
      <c r="AB912" s="193"/>
      <c r="AC912" s="193"/>
      <c r="AD912" s="193"/>
      <c r="AE912" s="193"/>
      <c r="AF912" s="193"/>
    </row>
    <row r="913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  <c r="W913" s="193"/>
      <c r="X913" s="193"/>
      <c r="Y913" s="193"/>
      <c r="Z913" s="193"/>
      <c r="AA913" s="193"/>
      <c r="AB913" s="193"/>
      <c r="AC913" s="193"/>
      <c r="AD913" s="193"/>
      <c r="AE913" s="193"/>
      <c r="AF913" s="193"/>
    </row>
    <row r="914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  <c r="W914" s="193"/>
      <c r="X914" s="193"/>
      <c r="Y914" s="193"/>
      <c r="Z914" s="193"/>
      <c r="AA914" s="193"/>
      <c r="AB914" s="193"/>
      <c r="AC914" s="193"/>
      <c r="AD914" s="193"/>
      <c r="AE914" s="193"/>
      <c r="AF914" s="193"/>
    </row>
    <row r="915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  <c r="W915" s="193"/>
      <c r="X915" s="193"/>
      <c r="Y915" s="193"/>
      <c r="Z915" s="193"/>
      <c r="AA915" s="193"/>
      <c r="AB915" s="193"/>
      <c r="AC915" s="193"/>
      <c r="AD915" s="193"/>
      <c r="AE915" s="193"/>
      <c r="AF915" s="193"/>
    </row>
    <row r="916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  <c r="W916" s="193"/>
      <c r="X916" s="193"/>
      <c r="Y916" s="193"/>
      <c r="Z916" s="193"/>
      <c r="AA916" s="193"/>
      <c r="AB916" s="193"/>
      <c r="AC916" s="193"/>
      <c r="AD916" s="193"/>
      <c r="AE916" s="193"/>
      <c r="AF916" s="193"/>
    </row>
    <row r="917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  <c r="W917" s="193"/>
      <c r="X917" s="193"/>
      <c r="Y917" s="193"/>
      <c r="Z917" s="193"/>
      <c r="AA917" s="193"/>
      <c r="AB917" s="193"/>
      <c r="AC917" s="193"/>
      <c r="AD917" s="193"/>
      <c r="AE917" s="193"/>
      <c r="AF917" s="193"/>
    </row>
    <row r="918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  <c r="W918" s="193"/>
      <c r="X918" s="193"/>
      <c r="Y918" s="193"/>
      <c r="Z918" s="193"/>
      <c r="AA918" s="193"/>
      <c r="AB918" s="193"/>
      <c r="AC918" s="193"/>
      <c r="AD918" s="193"/>
      <c r="AE918" s="193"/>
      <c r="AF918" s="193"/>
    </row>
    <row r="919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  <c r="W919" s="193"/>
      <c r="X919" s="193"/>
      <c r="Y919" s="193"/>
      <c r="Z919" s="193"/>
      <c r="AA919" s="193"/>
      <c r="AB919" s="193"/>
      <c r="AC919" s="193"/>
      <c r="AD919" s="193"/>
      <c r="AE919" s="193"/>
      <c r="AF919" s="193"/>
    </row>
    <row r="920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  <c r="W920" s="193"/>
      <c r="X920" s="193"/>
      <c r="Y920" s="193"/>
      <c r="Z920" s="193"/>
      <c r="AA920" s="193"/>
      <c r="AB920" s="193"/>
      <c r="AC920" s="193"/>
      <c r="AD920" s="193"/>
      <c r="AE920" s="193"/>
      <c r="AF920" s="193"/>
    </row>
    <row r="921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  <c r="W921" s="193"/>
      <c r="X921" s="193"/>
      <c r="Y921" s="193"/>
      <c r="Z921" s="193"/>
      <c r="AA921" s="193"/>
      <c r="AB921" s="193"/>
      <c r="AC921" s="193"/>
      <c r="AD921" s="193"/>
      <c r="AE921" s="193"/>
      <c r="AF921" s="193"/>
    </row>
    <row r="922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  <c r="W922" s="193"/>
      <c r="X922" s="193"/>
      <c r="Y922" s="193"/>
      <c r="Z922" s="193"/>
      <c r="AA922" s="193"/>
      <c r="AB922" s="193"/>
      <c r="AC922" s="193"/>
      <c r="AD922" s="193"/>
      <c r="AE922" s="193"/>
      <c r="AF922" s="193"/>
    </row>
    <row r="923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  <c r="W923" s="193"/>
      <c r="X923" s="193"/>
      <c r="Y923" s="193"/>
      <c r="Z923" s="193"/>
      <c r="AA923" s="193"/>
      <c r="AB923" s="193"/>
      <c r="AC923" s="193"/>
      <c r="AD923" s="193"/>
      <c r="AE923" s="193"/>
      <c r="AF923" s="193"/>
    </row>
    <row r="924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  <c r="W924" s="193"/>
      <c r="X924" s="193"/>
      <c r="Y924" s="193"/>
      <c r="Z924" s="193"/>
      <c r="AA924" s="193"/>
      <c r="AB924" s="193"/>
      <c r="AC924" s="193"/>
      <c r="AD924" s="193"/>
      <c r="AE924" s="193"/>
      <c r="AF924" s="193"/>
    </row>
    <row r="925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  <c r="W925" s="193"/>
      <c r="X925" s="193"/>
      <c r="Y925" s="193"/>
      <c r="Z925" s="193"/>
      <c r="AA925" s="193"/>
      <c r="AB925" s="193"/>
      <c r="AC925" s="193"/>
      <c r="AD925" s="193"/>
      <c r="AE925" s="193"/>
      <c r="AF925" s="193"/>
    </row>
    <row r="926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  <c r="W926" s="193"/>
      <c r="X926" s="193"/>
      <c r="Y926" s="193"/>
      <c r="Z926" s="193"/>
      <c r="AA926" s="193"/>
      <c r="AB926" s="193"/>
      <c r="AC926" s="193"/>
      <c r="AD926" s="193"/>
      <c r="AE926" s="193"/>
      <c r="AF926" s="193"/>
    </row>
    <row r="927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  <c r="W927" s="193"/>
      <c r="X927" s="193"/>
      <c r="Y927" s="193"/>
      <c r="Z927" s="193"/>
      <c r="AA927" s="193"/>
      <c r="AB927" s="193"/>
      <c r="AC927" s="193"/>
      <c r="AD927" s="193"/>
      <c r="AE927" s="193"/>
      <c r="AF927" s="193"/>
    </row>
    <row r="928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  <c r="W928" s="193"/>
      <c r="X928" s="193"/>
      <c r="Y928" s="193"/>
      <c r="Z928" s="193"/>
      <c r="AA928" s="193"/>
      <c r="AB928" s="193"/>
      <c r="AC928" s="193"/>
      <c r="AD928" s="193"/>
      <c r="AE928" s="193"/>
      <c r="AF928" s="193"/>
    </row>
    <row r="929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  <c r="W929" s="193"/>
      <c r="X929" s="193"/>
      <c r="Y929" s="193"/>
      <c r="Z929" s="193"/>
      <c r="AA929" s="193"/>
      <c r="AB929" s="193"/>
      <c r="AC929" s="193"/>
      <c r="AD929" s="193"/>
      <c r="AE929" s="193"/>
      <c r="AF929" s="193"/>
    </row>
    <row r="930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  <c r="W930" s="193"/>
      <c r="X930" s="193"/>
      <c r="Y930" s="193"/>
      <c r="Z930" s="193"/>
      <c r="AA930" s="193"/>
      <c r="AB930" s="193"/>
      <c r="AC930" s="193"/>
      <c r="AD930" s="193"/>
      <c r="AE930" s="193"/>
      <c r="AF930" s="193"/>
    </row>
    <row r="931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  <c r="W931" s="193"/>
      <c r="X931" s="193"/>
      <c r="Y931" s="193"/>
      <c r="Z931" s="193"/>
      <c r="AA931" s="193"/>
      <c r="AB931" s="193"/>
      <c r="AC931" s="193"/>
      <c r="AD931" s="193"/>
      <c r="AE931" s="193"/>
      <c r="AF931" s="193"/>
    </row>
    <row r="932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  <c r="W932" s="193"/>
      <c r="X932" s="193"/>
      <c r="Y932" s="193"/>
      <c r="Z932" s="193"/>
      <c r="AA932" s="193"/>
      <c r="AB932" s="193"/>
      <c r="AC932" s="193"/>
      <c r="AD932" s="193"/>
      <c r="AE932" s="193"/>
      <c r="AF932" s="193"/>
    </row>
    <row r="933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  <c r="W933" s="193"/>
      <c r="X933" s="193"/>
      <c r="Y933" s="193"/>
      <c r="Z933" s="193"/>
      <c r="AA933" s="193"/>
      <c r="AB933" s="193"/>
      <c r="AC933" s="193"/>
      <c r="AD933" s="193"/>
      <c r="AE933" s="193"/>
      <c r="AF933" s="193"/>
    </row>
    <row r="934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  <c r="W934" s="193"/>
      <c r="X934" s="193"/>
      <c r="Y934" s="193"/>
      <c r="Z934" s="193"/>
      <c r="AA934" s="193"/>
      <c r="AB934" s="193"/>
      <c r="AC934" s="193"/>
      <c r="AD934" s="193"/>
      <c r="AE934" s="193"/>
      <c r="AF934" s="193"/>
    </row>
    <row r="935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  <c r="W935" s="193"/>
      <c r="X935" s="193"/>
      <c r="Y935" s="193"/>
      <c r="Z935" s="193"/>
      <c r="AA935" s="193"/>
      <c r="AB935" s="193"/>
      <c r="AC935" s="193"/>
      <c r="AD935" s="193"/>
      <c r="AE935" s="193"/>
      <c r="AF935" s="193"/>
    </row>
    <row r="936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  <c r="W936" s="193"/>
      <c r="X936" s="193"/>
      <c r="Y936" s="193"/>
      <c r="Z936" s="193"/>
      <c r="AA936" s="193"/>
      <c r="AB936" s="193"/>
      <c r="AC936" s="193"/>
      <c r="AD936" s="193"/>
      <c r="AE936" s="193"/>
      <c r="AF936" s="193"/>
    </row>
    <row r="937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  <c r="W937" s="193"/>
      <c r="X937" s="193"/>
      <c r="Y937" s="193"/>
      <c r="Z937" s="193"/>
      <c r="AA937" s="193"/>
      <c r="AB937" s="193"/>
      <c r="AC937" s="193"/>
      <c r="AD937" s="193"/>
      <c r="AE937" s="193"/>
      <c r="AF937" s="193"/>
    </row>
    <row r="938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  <c r="W938" s="193"/>
      <c r="X938" s="193"/>
      <c r="Y938" s="193"/>
      <c r="Z938" s="193"/>
      <c r="AA938" s="193"/>
      <c r="AB938" s="193"/>
      <c r="AC938" s="193"/>
      <c r="AD938" s="193"/>
      <c r="AE938" s="193"/>
      <c r="AF938" s="193"/>
    </row>
    <row r="939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  <c r="W939" s="193"/>
      <c r="X939" s="193"/>
      <c r="Y939" s="193"/>
      <c r="Z939" s="193"/>
      <c r="AA939" s="193"/>
      <c r="AB939" s="193"/>
      <c r="AC939" s="193"/>
      <c r="AD939" s="193"/>
      <c r="AE939" s="193"/>
      <c r="AF939" s="193"/>
    </row>
    <row r="940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  <c r="W940" s="193"/>
      <c r="X940" s="193"/>
      <c r="Y940" s="193"/>
      <c r="Z940" s="193"/>
      <c r="AA940" s="193"/>
      <c r="AB940" s="193"/>
      <c r="AC940" s="193"/>
      <c r="AD940" s="193"/>
      <c r="AE940" s="193"/>
      <c r="AF940" s="193"/>
    </row>
    <row r="941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  <c r="W941" s="193"/>
      <c r="X941" s="193"/>
      <c r="Y941" s="193"/>
      <c r="Z941" s="193"/>
      <c r="AA941" s="193"/>
      <c r="AB941" s="193"/>
      <c r="AC941" s="193"/>
      <c r="AD941" s="193"/>
      <c r="AE941" s="193"/>
      <c r="AF941" s="193"/>
    </row>
    <row r="942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  <c r="W942" s="193"/>
      <c r="X942" s="193"/>
      <c r="Y942" s="193"/>
      <c r="Z942" s="193"/>
      <c r="AA942" s="193"/>
      <c r="AB942" s="193"/>
      <c r="AC942" s="193"/>
      <c r="AD942" s="193"/>
      <c r="AE942" s="193"/>
      <c r="AF942" s="193"/>
    </row>
    <row r="943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  <c r="W943" s="193"/>
      <c r="X943" s="193"/>
      <c r="Y943" s="193"/>
      <c r="Z943" s="193"/>
      <c r="AA943" s="193"/>
      <c r="AB943" s="193"/>
      <c r="AC943" s="193"/>
      <c r="AD943" s="193"/>
      <c r="AE943" s="193"/>
      <c r="AF943" s="193"/>
    </row>
    <row r="944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  <c r="W944" s="193"/>
      <c r="X944" s="193"/>
      <c r="Y944" s="193"/>
      <c r="Z944" s="193"/>
      <c r="AA944" s="193"/>
      <c r="AB944" s="193"/>
      <c r="AC944" s="193"/>
      <c r="AD944" s="193"/>
      <c r="AE944" s="193"/>
      <c r="AF944" s="193"/>
    </row>
    <row r="945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  <c r="W945" s="193"/>
      <c r="X945" s="193"/>
      <c r="Y945" s="193"/>
      <c r="Z945" s="193"/>
      <c r="AA945" s="193"/>
      <c r="AB945" s="193"/>
      <c r="AC945" s="193"/>
      <c r="AD945" s="193"/>
      <c r="AE945" s="193"/>
      <c r="AF945" s="193"/>
    </row>
    <row r="946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  <c r="W946" s="193"/>
      <c r="X946" s="193"/>
      <c r="Y946" s="193"/>
      <c r="Z946" s="193"/>
      <c r="AA946" s="193"/>
      <c r="AB946" s="193"/>
      <c r="AC946" s="193"/>
      <c r="AD946" s="193"/>
      <c r="AE946" s="193"/>
      <c r="AF946" s="193"/>
    </row>
    <row r="947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  <c r="W947" s="193"/>
      <c r="X947" s="193"/>
      <c r="Y947" s="193"/>
      <c r="Z947" s="193"/>
      <c r="AA947" s="193"/>
      <c r="AB947" s="193"/>
      <c r="AC947" s="193"/>
      <c r="AD947" s="193"/>
      <c r="AE947" s="193"/>
      <c r="AF947" s="193"/>
    </row>
    <row r="948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  <c r="W948" s="193"/>
      <c r="X948" s="193"/>
      <c r="Y948" s="193"/>
      <c r="Z948" s="193"/>
      <c r="AA948" s="193"/>
      <c r="AB948" s="193"/>
      <c r="AC948" s="193"/>
      <c r="AD948" s="193"/>
      <c r="AE948" s="193"/>
      <c r="AF948" s="193"/>
    </row>
    <row r="949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  <c r="W949" s="193"/>
      <c r="X949" s="193"/>
      <c r="Y949" s="193"/>
      <c r="Z949" s="193"/>
      <c r="AA949" s="193"/>
      <c r="AB949" s="193"/>
      <c r="AC949" s="193"/>
      <c r="AD949" s="193"/>
      <c r="AE949" s="193"/>
      <c r="AF949" s="193"/>
    </row>
    <row r="950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  <c r="W950" s="193"/>
      <c r="X950" s="193"/>
      <c r="Y950" s="193"/>
      <c r="Z950" s="193"/>
      <c r="AA950" s="193"/>
      <c r="AB950" s="193"/>
      <c r="AC950" s="193"/>
      <c r="AD950" s="193"/>
      <c r="AE950" s="193"/>
      <c r="AF950" s="193"/>
    </row>
    <row r="951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  <c r="W951" s="193"/>
      <c r="X951" s="193"/>
      <c r="Y951" s="193"/>
      <c r="Z951" s="193"/>
      <c r="AA951" s="193"/>
      <c r="AB951" s="193"/>
      <c r="AC951" s="193"/>
      <c r="AD951" s="193"/>
      <c r="AE951" s="193"/>
      <c r="AF951" s="193"/>
    </row>
    <row r="952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  <c r="W952" s="193"/>
      <c r="X952" s="193"/>
      <c r="Y952" s="193"/>
      <c r="Z952" s="193"/>
      <c r="AA952" s="193"/>
      <c r="AB952" s="193"/>
      <c r="AC952" s="193"/>
      <c r="AD952" s="193"/>
      <c r="AE952" s="193"/>
      <c r="AF952" s="193"/>
    </row>
    <row r="953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  <c r="W953" s="193"/>
      <c r="X953" s="193"/>
      <c r="Y953" s="193"/>
      <c r="Z953" s="193"/>
      <c r="AA953" s="193"/>
      <c r="AB953" s="193"/>
      <c r="AC953" s="193"/>
      <c r="AD953" s="193"/>
      <c r="AE953" s="193"/>
      <c r="AF953" s="193"/>
    </row>
    <row r="954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  <c r="W954" s="193"/>
      <c r="X954" s="193"/>
      <c r="Y954" s="193"/>
      <c r="Z954" s="193"/>
      <c r="AA954" s="193"/>
      <c r="AB954" s="193"/>
      <c r="AC954" s="193"/>
      <c r="AD954" s="193"/>
      <c r="AE954" s="193"/>
      <c r="AF954" s="193"/>
    </row>
    <row r="955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  <c r="W955" s="193"/>
      <c r="X955" s="193"/>
      <c r="Y955" s="193"/>
      <c r="Z955" s="193"/>
      <c r="AA955" s="193"/>
      <c r="AB955" s="193"/>
      <c r="AC955" s="193"/>
      <c r="AD955" s="193"/>
      <c r="AE955" s="193"/>
      <c r="AF955" s="193"/>
    </row>
    <row r="956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  <c r="W956" s="193"/>
      <c r="X956" s="193"/>
      <c r="Y956" s="193"/>
      <c r="Z956" s="193"/>
      <c r="AA956" s="193"/>
      <c r="AB956" s="193"/>
      <c r="AC956" s="193"/>
      <c r="AD956" s="193"/>
      <c r="AE956" s="193"/>
      <c r="AF956" s="193"/>
    </row>
    <row r="957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  <c r="W957" s="193"/>
      <c r="X957" s="193"/>
      <c r="Y957" s="193"/>
      <c r="Z957" s="193"/>
      <c r="AA957" s="193"/>
      <c r="AB957" s="193"/>
      <c r="AC957" s="193"/>
      <c r="AD957" s="193"/>
      <c r="AE957" s="193"/>
      <c r="AF957" s="193"/>
    </row>
    <row r="958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  <c r="W958" s="193"/>
      <c r="X958" s="193"/>
      <c r="Y958" s="193"/>
      <c r="Z958" s="193"/>
      <c r="AA958" s="193"/>
      <c r="AB958" s="193"/>
      <c r="AC958" s="193"/>
      <c r="AD958" s="193"/>
      <c r="AE958" s="193"/>
      <c r="AF958" s="193"/>
    </row>
    <row r="959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  <c r="W959" s="193"/>
      <c r="X959" s="193"/>
      <c r="Y959" s="193"/>
      <c r="Z959" s="193"/>
      <c r="AA959" s="193"/>
      <c r="AB959" s="193"/>
      <c r="AC959" s="193"/>
      <c r="AD959" s="193"/>
      <c r="AE959" s="193"/>
      <c r="AF959" s="193"/>
    </row>
    <row r="960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  <c r="W960" s="193"/>
      <c r="X960" s="193"/>
      <c r="Y960" s="193"/>
      <c r="Z960" s="193"/>
      <c r="AA960" s="193"/>
      <c r="AB960" s="193"/>
      <c r="AC960" s="193"/>
      <c r="AD960" s="193"/>
      <c r="AE960" s="193"/>
      <c r="AF960" s="193"/>
    </row>
    <row r="961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  <c r="W961" s="193"/>
      <c r="X961" s="193"/>
      <c r="Y961" s="193"/>
      <c r="Z961" s="193"/>
      <c r="AA961" s="193"/>
      <c r="AB961" s="193"/>
      <c r="AC961" s="193"/>
      <c r="AD961" s="193"/>
      <c r="AE961" s="193"/>
      <c r="AF961" s="193"/>
    </row>
    <row r="962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  <c r="W962" s="193"/>
      <c r="X962" s="193"/>
      <c r="Y962" s="193"/>
      <c r="Z962" s="193"/>
      <c r="AA962" s="193"/>
      <c r="AB962" s="193"/>
      <c r="AC962" s="193"/>
      <c r="AD962" s="193"/>
      <c r="AE962" s="193"/>
      <c r="AF962" s="193"/>
    </row>
    <row r="963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193"/>
      <c r="Z963" s="193"/>
      <c r="AA963" s="193"/>
      <c r="AB963" s="193"/>
      <c r="AC963" s="193"/>
      <c r="AD963" s="193"/>
      <c r="AE963" s="193"/>
      <c r="AF963" s="193"/>
    </row>
    <row r="964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  <c r="W964" s="193"/>
      <c r="X964" s="193"/>
      <c r="Y964" s="193"/>
      <c r="Z964" s="193"/>
      <c r="AA964" s="193"/>
      <c r="AB964" s="193"/>
      <c r="AC964" s="193"/>
      <c r="AD964" s="193"/>
      <c r="AE964" s="193"/>
      <c r="AF964" s="193"/>
    </row>
    <row r="965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  <c r="W965" s="193"/>
      <c r="X965" s="193"/>
      <c r="Y965" s="193"/>
      <c r="Z965" s="193"/>
      <c r="AA965" s="193"/>
      <c r="AB965" s="193"/>
      <c r="AC965" s="193"/>
      <c r="AD965" s="193"/>
      <c r="AE965" s="193"/>
      <c r="AF965" s="193"/>
    </row>
    <row r="966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3"/>
      <c r="X966" s="193"/>
      <c r="Y966" s="193"/>
      <c r="Z966" s="193"/>
      <c r="AA966" s="193"/>
      <c r="AB966" s="193"/>
      <c r="AC966" s="193"/>
      <c r="AD966" s="193"/>
      <c r="AE966" s="193"/>
      <c r="AF966" s="193"/>
    </row>
    <row r="967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  <c r="W967" s="193"/>
      <c r="X967" s="193"/>
      <c r="Y967" s="193"/>
      <c r="Z967" s="193"/>
      <c r="AA967" s="193"/>
      <c r="AB967" s="193"/>
      <c r="AC967" s="193"/>
      <c r="AD967" s="193"/>
      <c r="AE967" s="193"/>
      <c r="AF967" s="193"/>
    </row>
    <row r="968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  <c r="W968" s="193"/>
      <c r="X968" s="193"/>
      <c r="Y968" s="193"/>
      <c r="Z968" s="193"/>
      <c r="AA968" s="193"/>
      <c r="AB968" s="193"/>
      <c r="AC968" s="193"/>
      <c r="AD968" s="193"/>
      <c r="AE968" s="193"/>
      <c r="AF968" s="193"/>
    </row>
    <row r="969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  <c r="W969" s="193"/>
      <c r="X969" s="193"/>
      <c r="Y969" s="193"/>
      <c r="Z969" s="193"/>
      <c r="AA969" s="193"/>
      <c r="AB969" s="193"/>
      <c r="AC969" s="193"/>
      <c r="AD969" s="193"/>
      <c r="AE969" s="193"/>
      <c r="AF969" s="193"/>
    </row>
    <row r="970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  <c r="W970" s="193"/>
      <c r="X970" s="193"/>
      <c r="Y970" s="193"/>
      <c r="Z970" s="193"/>
      <c r="AA970" s="193"/>
      <c r="AB970" s="193"/>
      <c r="AC970" s="193"/>
      <c r="AD970" s="193"/>
      <c r="AE970" s="193"/>
      <c r="AF970" s="193"/>
    </row>
    <row r="971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  <c r="W971" s="193"/>
      <c r="X971" s="193"/>
      <c r="Y971" s="193"/>
      <c r="Z971" s="193"/>
      <c r="AA971" s="193"/>
      <c r="AB971" s="193"/>
      <c r="AC971" s="193"/>
      <c r="AD971" s="193"/>
      <c r="AE971" s="193"/>
      <c r="AF971" s="193"/>
    </row>
    <row r="972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  <c r="W972" s="193"/>
      <c r="X972" s="193"/>
      <c r="Y972" s="193"/>
      <c r="Z972" s="193"/>
      <c r="AA972" s="193"/>
      <c r="AB972" s="193"/>
      <c r="AC972" s="193"/>
      <c r="AD972" s="193"/>
      <c r="AE972" s="193"/>
      <c r="AF972" s="193"/>
    </row>
    <row r="973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  <c r="W973" s="193"/>
      <c r="X973" s="193"/>
      <c r="Y973" s="193"/>
      <c r="Z973" s="193"/>
      <c r="AA973" s="193"/>
      <c r="AB973" s="193"/>
      <c r="AC973" s="193"/>
      <c r="AD973" s="193"/>
      <c r="AE973" s="193"/>
      <c r="AF973" s="193"/>
    </row>
    <row r="974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  <c r="W974" s="193"/>
      <c r="X974" s="193"/>
      <c r="Y974" s="193"/>
      <c r="Z974" s="193"/>
      <c r="AA974" s="193"/>
      <c r="AB974" s="193"/>
      <c r="AC974" s="193"/>
      <c r="AD974" s="193"/>
      <c r="AE974" s="193"/>
      <c r="AF974" s="193"/>
    </row>
    <row r="975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  <c r="W975" s="193"/>
      <c r="X975" s="193"/>
      <c r="Y975" s="193"/>
      <c r="Z975" s="193"/>
      <c r="AA975" s="193"/>
      <c r="AB975" s="193"/>
      <c r="AC975" s="193"/>
      <c r="AD975" s="193"/>
      <c r="AE975" s="193"/>
      <c r="AF975" s="193"/>
    </row>
    <row r="976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  <c r="W976" s="193"/>
      <c r="X976" s="193"/>
      <c r="Y976" s="193"/>
      <c r="Z976" s="193"/>
      <c r="AA976" s="193"/>
      <c r="AB976" s="193"/>
      <c r="AC976" s="193"/>
      <c r="AD976" s="193"/>
      <c r="AE976" s="193"/>
      <c r="AF976" s="193"/>
    </row>
    <row r="977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  <c r="W977" s="193"/>
      <c r="X977" s="193"/>
      <c r="Y977" s="193"/>
      <c r="Z977" s="193"/>
      <c r="AA977" s="193"/>
      <c r="AB977" s="193"/>
      <c r="AC977" s="193"/>
      <c r="AD977" s="193"/>
      <c r="AE977" s="193"/>
      <c r="AF977" s="193"/>
    </row>
    <row r="978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  <c r="W978" s="193"/>
      <c r="X978" s="193"/>
      <c r="Y978" s="193"/>
      <c r="Z978" s="193"/>
      <c r="AA978" s="193"/>
      <c r="AB978" s="193"/>
      <c r="AC978" s="193"/>
      <c r="AD978" s="193"/>
      <c r="AE978" s="193"/>
      <c r="AF978" s="193"/>
    </row>
    <row r="979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  <c r="W979" s="193"/>
      <c r="X979" s="193"/>
      <c r="Y979" s="193"/>
      <c r="Z979" s="193"/>
      <c r="AA979" s="193"/>
      <c r="AB979" s="193"/>
      <c r="AC979" s="193"/>
      <c r="AD979" s="193"/>
      <c r="AE979" s="193"/>
      <c r="AF979" s="193"/>
    </row>
    <row r="980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  <c r="W980" s="193"/>
      <c r="X980" s="193"/>
      <c r="Y980" s="193"/>
      <c r="Z980" s="193"/>
      <c r="AA980" s="193"/>
      <c r="AB980" s="193"/>
      <c r="AC980" s="193"/>
      <c r="AD980" s="193"/>
      <c r="AE980" s="193"/>
      <c r="AF980" s="193"/>
    </row>
    <row r="981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  <c r="W981" s="193"/>
      <c r="X981" s="193"/>
      <c r="Y981" s="193"/>
      <c r="Z981" s="193"/>
      <c r="AA981" s="193"/>
      <c r="AB981" s="193"/>
      <c r="AC981" s="193"/>
      <c r="AD981" s="193"/>
      <c r="AE981" s="193"/>
      <c r="AF981" s="193"/>
    </row>
    <row r="982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  <c r="W982" s="193"/>
      <c r="X982" s="193"/>
      <c r="Y982" s="193"/>
      <c r="Z982" s="193"/>
      <c r="AA982" s="193"/>
      <c r="AB982" s="193"/>
      <c r="AC982" s="193"/>
      <c r="AD982" s="193"/>
      <c r="AE982" s="193"/>
      <c r="AF982" s="193"/>
    </row>
    <row r="983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  <c r="W983" s="193"/>
      <c r="X983" s="193"/>
      <c r="Y983" s="193"/>
      <c r="Z983" s="193"/>
      <c r="AA983" s="193"/>
      <c r="AB983" s="193"/>
      <c r="AC983" s="193"/>
      <c r="AD983" s="193"/>
      <c r="AE983" s="193"/>
      <c r="AF983" s="193"/>
    </row>
    <row r="984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  <c r="W984" s="193"/>
      <c r="X984" s="193"/>
      <c r="Y984" s="193"/>
      <c r="Z984" s="193"/>
      <c r="AA984" s="193"/>
      <c r="AB984" s="193"/>
      <c r="AC984" s="193"/>
      <c r="AD984" s="193"/>
      <c r="AE984" s="193"/>
      <c r="AF984" s="193"/>
    </row>
    <row r="985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  <c r="W985" s="193"/>
      <c r="X985" s="193"/>
      <c r="Y985" s="193"/>
      <c r="Z985" s="193"/>
      <c r="AA985" s="193"/>
      <c r="AB985" s="193"/>
      <c r="AC985" s="193"/>
      <c r="AD985" s="193"/>
      <c r="AE985" s="193"/>
      <c r="AF985" s="193"/>
    </row>
    <row r="986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  <c r="W986" s="193"/>
      <c r="X986" s="193"/>
      <c r="Y986" s="193"/>
      <c r="Z986" s="193"/>
      <c r="AA986" s="193"/>
      <c r="AB986" s="193"/>
      <c r="AC986" s="193"/>
      <c r="AD986" s="193"/>
      <c r="AE986" s="193"/>
      <c r="AF986" s="193"/>
    </row>
    <row r="987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  <c r="W987" s="193"/>
      <c r="X987" s="193"/>
      <c r="Y987" s="193"/>
      <c r="Z987" s="193"/>
      <c r="AA987" s="193"/>
      <c r="AB987" s="193"/>
      <c r="AC987" s="193"/>
      <c r="AD987" s="193"/>
      <c r="AE987" s="193"/>
      <c r="AF987" s="193"/>
    </row>
    <row r="988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  <c r="W988" s="193"/>
      <c r="X988" s="193"/>
      <c r="Y988" s="193"/>
      <c r="Z988" s="193"/>
      <c r="AA988" s="193"/>
      <c r="AB988" s="193"/>
      <c r="AC988" s="193"/>
      <c r="AD988" s="193"/>
      <c r="AE988" s="193"/>
      <c r="AF988" s="193"/>
    </row>
    <row r="989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  <c r="W989" s="193"/>
      <c r="X989" s="193"/>
      <c r="Y989" s="193"/>
      <c r="Z989" s="193"/>
      <c r="AA989" s="193"/>
      <c r="AB989" s="193"/>
      <c r="AC989" s="193"/>
      <c r="AD989" s="193"/>
      <c r="AE989" s="193"/>
      <c r="AF989" s="193"/>
    </row>
    <row r="990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  <c r="W990" s="193"/>
      <c r="X990" s="193"/>
      <c r="Y990" s="193"/>
      <c r="Z990" s="193"/>
      <c r="AA990" s="193"/>
      <c r="AB990" s="193"/>
      <c r="AC990" s="193"/>
      <c r="AD990" s="193"/>
      <c r="AE990" s="193"/>
      <c r="AF990" s="193"/>
    </row>
    <row r="991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  <c r="W991" s="193"/>
      <c r="X991" s="193"/>
      <c r="Y991" s="193"/>
      <c r="Z991" s="193"/>
      <c r="AA991" s="193"/>
      <c r="AB991" s="193"/>
      <c r="AC991" s="193"/>
      <c r="AD991" s="193"/>
      <c r="AE991" s="193"/>
      <c r="AF991" s="193"/>
    </row>
    <row r="992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  <c r="W992" s="193"/>
      <c r="X992" s="193"/>
      <c r="Y992" s="193"/>
      <c r="Z992" s="193"/>
      <c r="AA992" s="193"/>
      <c r="AB992" s="193"/>
      <c r="AC992" s="193"/>
      <c r="AD992" s="193"/>
      <c r="AE992" s="193"/>
      <c r="AF992" s="193"/>
    </row>
    <row r="993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  <c r="W993" s="193"/>
      <c r="X993" s="193"/>
      <c r="Y993" s="193"/>
      <c r="Z993" s="193"/>
      <c r="AA993" s="193"/>
      <c r="AB993" s="193"/>
      <c r="AC993" s="193"/>
      <c r="AD993" s="193"/>
      <c r="AE993" s="193"/>
      <c r="AF993" s="193"/>
    </row>
    <row r="994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  <c r="W994" s="193"/>
      <c r="X994" s="193"/>
      <c r="Y994" s="193"/>
      <c r="Z994" s="193"/>
      <c r="AA994" s="193"/>
      <c r="AB994" s="193"/>
      <c r="AC994" s="193"/>
      <c r="AD994" s="193"/>
      <c r="AE994" s="193"/>
      <c r="AF994" s="193"/>
    </row>
    <row r="995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  <c r="W995" s="193"/>
      <c r="X995" s="193"/>
      <c r="Y995" s="193"/>
      <c r="Z995" s="193"/>
      <c r="AA995" s="193"/>
      <c r="AB995" s="193"/>
      <c r="AC995" s="193"/>
      <c r="AD995" s="193"/>
      <c r="AE995" s="193"/>
      <c r="AF995" s="193"/>
    </row>
    <row r="996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3"/>
      <c r="V996" s="193"/>
      <c r="W996" s="193"/>
      <c r="X996" s="193"/>
      <c r="Y996" s="193"/>
      <c r="Z996" s="193"/>
      <c r="AA996" s="193"/>
      <c r="AB996" s="193"/>
      <c r="AC996" s="193"/>
      <c r="AD996" s="193"/>
      <c r="AE996" s="193"/>
      <c r="AF996" s="193"/>
    </row>
    <row r="997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3"/>
      <c r="V997" s="193"/>
      <c r="W997" s="193"/>
      <c r="X997" s="193"/>
      <c r="Y997" s="193"/>
      <c r="Z997" s="193"/>
      <c r="AA997" s="193"/>
      <c r="AB997" s="193"/>
      <c r="AC997" s="193"/>
      <c r="AD997" s="193"/>
      <c r="AE997" s="193"/>
      <c r="AF997" s="193"/>
    </row>
    <row r="998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3"/>
      <c r="V998" s="193"/>
      <c r="W998" s="193"/>
      <c r="X998" s="193"/>
      <c r="Y998" s="193"/>
      <c r="Z998" s="193"/>
      <c r="AA998" s="193"/>
      <c r="AB998" s="193"/>
      <c r="AC998" s="193"/>
      <c r="AD998" s="193"/>
      <c r="AE998" s="193"/>
      <c r="AF998" s="193"/>
    </row>
    <row r="999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3"/>
      <c r="V999" s="193"/>
      <c r="W999" s="193"/>
      <c r="X999" s="193"/>
      <c r="Y999" s="193"/>
      <c r="Z999" s="193"/>
      <c r="AA999" s="193"/>
      <c r="AB999" s="193"/>
      <c r="AC999" s="193"/>
      <c r="AD999" s="193"/>
      <c r="AE999" s="193"/>
      <c r="AF999" s="193"/>
    </row>
    <row r="1000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3"/>
      <c r="V1000" s="193"/>
      <c r="W1000" s="193"/>
      <c r="X1000" s="193"/>
      <c r="Y1000" s="193"/>
      <c r="Z1000" s="193"/>
      <c r="AA1000" s="193"/>
      <c r="AB1000" s="193"/>
      <c r="AC1000" s="193"/>
      <c r="AD1000" s="193"/>
      <c r="AE1000" s="193"/>
      <c r="AF1000" s="193"/>
    </row>
    <row r="1001">
      <c r="A1001" s="193"/>
      <c r="B1001" s="193"/>
      <c r="C1001" s="193"/>
      <c r="D1001" s="193"/>
      <c r="E1001" s="193"/>
      <c r="F1001" s="193"/>
      <c r="G1001" s="193"/>
      <c r="H1001" s="193"/>
      <c r="I1001" s="193"/>
      <c r="J1001" s="193"/>
      <c r="K1001" s="193"/>
      <c r="L1001" s="193"/>
      <c r="M1001" s="193"/>
      <c r="N1001" s="193"/>
      <c r="O1001" s="193"/>
      <c r="P1001" s="193"/>
      <c r="Q1001" s="193"/>
      <c r="R1001" s="193"/>
      <c r="S1001" s="193"/>
      <c r="T1001" s="193"/>
      <c r="U1001" s="193"/>
      <c r="V1001" s="193"/>
      <c r="W1001" s="193"/>
      <c r="X1001" s="193"/>
      <c r="Y1001" s="193"/>
      <c r="Z1001" s="193"/>
      <c r="AA1001" s="193"/>
      <c r="AB1001" s="193"/>
      <c r="AC1001" s="193"/>
      <c r="AD1001" s="193"/>
      <c r="AE1001" s="193"/>
      <c r="AF1001" s="193"/>
    </row>
    <row r="1002">
      <c r="A1002" s="193"/>
      <c r="B1002" s="193"/>
      <c r="C1002" s="193"/>
      <c r="D1002" s="193"/>
      <c r="E1002" s="193"/>
      <c r="F1002" s="193"/>
      <c r="G1002" s="193"/>
      <c r="H1002" s="193"/>
      <c r="I1002" s="193"/>
      <c r="J1002" s="193"/>
      <c r="K1002" s="193"/>
      <c r="L1002" s="193"/>
      <c r="M1002" s="193"/>
      <c r="N1002" s="193"/>
      <c r="O1002" s="193"/>
      <c r="P1002" s="193"/>
      <c r="Q1002" s="193"/>
      <c r="R1002" s="193"/>
      <c r="S1002" s="193"/>
      <c r="T1002" s="193"/>
      <c r="U1002" s="193"/>
      <c r="V1002" s="193"/>
      <c r="W1002" s="193"/>
      <c r="X1002" s="193"/>
      <c r="Y1002" s="193"/>
      <c r="Z1002" s="193"/>
      <c r="AA1002" s="193"/>
      <c r="AB1002" s="193"/>
      <c r="AC1002" s="193"/>
      <c r="AD1002" s="193"/>
      <c r="AE1002" s="193"/>
      <c r="AF1002" s="19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0.57"/>
    <col customWidth="1" min="3" max="3" width="18.57"/>
    <col customWidth="1" min="4" max="4" width="14.57"/>
    <col customWidth="1" min="5" max="5" width="24.43"/>
    <col customWidth="1" min="6" max="6" width="35.71"/>
    <col customWidth="1" min="7" max="7" width="14.0"/>
    <col customWidth="1" min="8" max="8" width="13.29"/>
    <col customWidth="1" min="9" max="9" width="17.43"/>
    <col customWidth="1" min="10" max="10" width="15.43"/>
  </cols>
  <sheetData>
    <row r="4" ht="15.0" customHeight="1">
      <c r="A4" s="210"/>
      <c r="B4" s="210"/>
      <c r="C4" s="210"/>
      <c r="D4" s="210"/>
      <c r="E4" s="210"/>
      <c r="F4" s="211" t="s">
        <v>2070</v>
      </c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</row>
    <row r="5" ht="15.0" customHeight="1">
      <c r="A5" s="212" t="s">
        <v>2071</v>
      </c>
      <c r="B5" s="212" t="s">
        <v>2072</v>
      </c>
      <c r="C5" s="212" t="s">
        <v>2073</v>
      </c>
      <c r="D5" s="212" t="s">
        <v>2074</v>
      </c>
      <c r="E5" s="212" t="s">
        <v>2075</v>
      </c>
      <c r="F5" s="212" t="s">
        <v>2076</v>
      </c>
      <c r="G5" s="212" t="s">
        <v>2077</v>
      </c>
      <c r="H5" s="212" t="s">
        <v>2078</v>
      </c>
      <c r="I5" s="212" t="s">
        <v>2079</v>
      </c>
      <c r="J5" s="212" t="s">
        <v>2080</v>
      </c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</row>
    <row r="7" ht="15.0" customHeight="1">
      <c r="A7" s="213" t="s">
        <v>2081</v>
      </c>
      <c r="B7" s="214" t="s">
        <v>2082</v>
      </c>
      <c r="C7" s="215" t="s">
        <v>37</v>
      </c>
      <c r="D7" s="215" t="s">
        <v>2083</v>
      </c>
      <c r="E7" s="215">
        <v>10.0</v>
      </c>
      <c r="F7" s="215">
        <v>382.0</v>
      </c>
      <c r="G7" s="215" t="s">
        <v>2084</v>
      </c>
      <c r="H7" s="215" t="s">
        <v>2085</v>
      </c>
      <c r="I7" s="213" t="s">
        <v>2086</v>
      </c>
      <c r="J7" s="213" t="s">
        <v>2087</v>
      </c>
    </row>
    <row r="8" ht="15.0" customHeight="1">
      <c r="A8" s="213" t="s">
        <v>2081</v>
      </c>
      <c r="B8" s="214" t="s">
        <v>66</v>
      </c>
      <c r="C8" s="215" t="s">
        <v>65</v>
      </c>
      <c r="D8" s="215" t="s">
        <v>2088</v>
      </c>
      <c r="E8" s="215">
        <v>10.0</v>
      </c>
      <c r="F8" s="215">
        <v>386.0</v>
      </c>
      <c r="G8" s="216">
        <v>44063.0</v>
      </c>
      <c r="H8" s="215" t="s">
        <v>2089</v>
      </c>
      <c r="I8" s="213" t="s">
        <v>2090</v>
      </c>
      <c r="J8" s="213" t="s">
        <v>2091</v>
      </c>
    </row>
    <row r="9" ht="15.0" customHeight="1">
      <c r="A9" s="213" t="s">
        <v>2081</v>
      </c>
      <c r="B9" s="214" t="s">
        <v>2092</v>
      </c>
      <c r="C9" s="215" t="s">
        <v>71</v>
      </c>
      <c r="D9" s="215" t="s">
        <v>2093</v>
      </c>
      <c r="E9" s="215">
        <v>10.0</v>
      </c>
      <c r="F9" s="215">
        <v>426.0</v>
      </c>
      <c r="G9" s="215" t="s">
        <v>2094</v>
      </c>
      <c r="H9" s="215" t="s">
        <v>2095</v>
      </c>
      <c r="I9" s="213" t="s">
        <v>2096</v>
      </c>
      <c r="J9" s="213" t="s">
        <v>2097</v>
      </c>
    </row>
    <row r="10" ht="15.0" customHeight="1">
      <c r="A10" s="213" t="s">
        <v>2081</v>
      </c>
      <c r="B10" s="214" t="s">
        <v>2098</v>
      </c>
      <c r="C10" s="215" t="s">
        <v>87</v>
      </c>
      <c r="D10" s="215" t="s">
        <v>2099</v>
      </c>
      <c r="E10" s="215">
        <v>10.0</v>
      </c>
      <c r="F10" s="215">
        <v>424.0</v>
      </c>
      <c r="G10" s="215" t="s">
        <v>2100</v>
      </c>
      <c r="H10" s="215" t="s">
        <v>2101</v>
      </c>
      <c r="I10" s="213" t="s">
        <v>2102</v>
      </c>
      <c r="J10" s="213" t="s">
        <v>2103</v>
      </c>
    </row>
    <row r="11" ht="15.0" customHeight="1">
      <c r="A11" s="213" t="s">
        <v>2081</v>
      </c>
      <c r="B11" s="214" t="s">
        <v>480</v>
      </c>
      <c r="C11" s="215" t="s">
        <v>95</v>
      </c>
      <c r="D11" s="215" t="s">
        <v>2099</v>
      </c>
      <c r="E11" s="215">
        <v>10.0</v>
      </c>
      <c r="F11" s="215">
        <v>427.0</v>
      </c>
      <c r="G11" s="215" t="s">
        <v>2104</v>
      </c>
      <c r="H11" s="215" t="s">
        <v>2105</v>
      </c>
      <c r="I11" s="213" t="s">
        <v>2106</v>
      </c>
      <c r="J11" s="213" t="s">
        <v>2107</v>
      </c>
    </row>
    <row r="12" ht="15.0" customHeight="1">
      <c r="A12" s="213" t="s">
        <v>2081</v>
      </c>
      <c r="B12" s="214" t="s">
        <v>2108</v>
      </c>
      <c r="C12" s="215" t="s">
        <v>106</v>
      </c>
      <c r="D12" s="215" t="s">
        <v>2109</v>
      </c>
      <c r="E12" s="215">
        <v>10.0</v>
      </c>
      <c r="F12" s="215">
        <v>454.0</v>
      </c>
      <c r="G12" s="215" t="s">
        <v>2110</v>
      </c>
      <c r="H12" s="215" t="s">
        <v>2111</v>
      </c>
      <c r="I12" s="213" t="s">
        <v>2112</v>
      </c>
      <c r="J12" s="213" t="s">
        <v>2113</v>
      </c>
    </row>
    <row r="13" ht="15.0" customHeight="1">
      <c r="A13" s="213" t="s">
        <v>2081</v>
      </c>
      <c r="B13" s="214" t="s">
        <v>117</v>
      </c>
      <c r="C13" s="215" t="s">
        <v>115</v>
      </c>
      <c r="D13" s="215" t="s">
        <v>2114</v>
      </c>
      <c r="E13" s="215">
        <v>10.0</v>
      </c>
      <c r="F13" s="215">
        <v>422.0</v>
      </c>
      <c r="G13" s="215" t="s">
        <v>2115</v>
      </c>
      <c r="H13" s="215" t="s">
        <v>2116</v>
      </c>
      <c r="I13" s="213" t="s">
        <v>2117</v>
      </c>
      <c r="J13" s="213" t="s">
        <v>2118</v>
      </c>
    </row>
    <row r="14" ht="15.0" customHeight="1">
      <c r="A14" s="213" t="s">
        <v>2081</v>
      </c>
      <c r="B14" s="214" t="s">
        <v>2119</v>
      </c>
      <c r="C14" s="215" t="s">
        <v>123</v>
      </c>
      <c r="D14" s="215" t="s">
        <v>2120</v>
      </c>
      <c r="E14" s="215">
        <v>10.0</v>
      </c>
      <c r="F14" s="215">
        <v>433.0</v>
      </c>
      <c r="G14" s="215" t="s">
        <v>2121</v>
      </c>
      <c r="H14" s="215" t="s">
        <v>2122</v>
      </c>
      <c r="I14" s="213" t="s">
        <v>2123</v>
      </c>
      <c r="J14" s="213" t="s">
        <v>2124</v>
      </c>
    </row>
    <row r="15" ht="15.0" customHeight="1">
      <c r="A15" s="213" t="s">
        <v>2081</v>
      </c>
      <c r="B15" s="214" t="s">
        <v>2125</v>
      </c>
      <c r="C15" s="215" t="s">
        <v>131</v>
      </c>
      <c r="D15" s="215" t="s">
        <v>2126</v>
      </c>
      <c r="E15" s="215">
        <v>10.0</v>
      </c>
      <c r="F15" s="215">
        <v>332.0</v>
      </c>
      <c r="G15" s="216">
        <v>43838.0</v>
      </c>
      <c r="H15" s="215" t="s">
        <v>2127</v>
      </c>
      <c r="I15" s="213" t="s">
        <v>2128</v>
      </c>
      <c r="J15" s="213" t="s">
        <v>2129</v>
      </c>
    </row>
    <row r="16">
      <c r="A16" s="213" t="s">
        <v>2081</v>
      </c>
      <c r="B16" s="214" t="s">
        <v>2130</v>
      </c>
      <c r="C16" s="215" t="s">
        <v>139</v>
      </c>
      <c r="D16" s="215" t="s">
        <v>2131</v>
      </c>
      <c r="E16" s="215">
        <v>10.0</v>
      </c>
      <c r="F16" s="215">
        <v>333.0</v>
      </c>
      <c r="G16" s="215" t="s">
        <v>2132</v>
      </c>
      <c r="H16" s="215" t="s">
        <v>2133</v>
      </c>
      <c r="I16" s="213" t="s">
        <v>2134</v>
      </c>
      <c r="J16" s="213" t="s">
        <v>2135</v>
      </c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</row>
    <row r="17">
      <c r="A17" s="213" t="s">
        <v>2081</v>
      </c>
      <c r="B17" s="213" t="s">
        <v>2119</v>
      </c>
      <c r="C17" s="215" t="s">
        <v>123</v>
      </c>
      <c r="D17" s="215" t="s">
        <v>2120</v>
      </c>
      <c r="E17" s="215">
        <v>10.0</v>
      </c>
      <c r="F17" s="217">
        <v>369.0</v>
      </c>
      <c r="G17" s="218">
        <v>44038.0</v>
      </c>
      <c r="H17" s="217" t="s">
        <v>2136</v>
      </c>
      <c r="I17" s="219" t="s">
        <v>2137</v>
      </c>
      <c r="J17" s="219" t="s">
        <v>2138</v>
      </c>
    </row>
    <row r="18">
      <c r="A18" s="213" t="s">
        <v>2081</v>
      </c>
      <c r="B18" s="213" t="s">
        <v>2139</v>
      </c>
      <c r="C18" s="215" t="s">
        <v>145</v>
      </c>
      <c r="D18" s="215" t="s">
        <v>2140</v>
      </c>
      <c r="E18" s="215">
        <v>10.0</v>
      </c>
      <c r="F18" s="217">
        <v>382.0</v>
      </c>
      <c r="G18" s="217" t="s">
        <v>2141</v>
      </c>
      <c r="H18" s="217" t="s">
        <v>2142</v>
      </c>
      <c r="I18" s="219" t="s">
        <v>2143</v>
      </c>
      <c r="J18" s="219" t="s">
        <v>2144</v>
      </c>
    </row>
    <row r="19">
      <c r="A19" s="213" t="s">
        <v>2081</v>
      </c>
      <c r="B19" s="213" t="s">
        <v>2145</v>
      </c>
      <c r="C19" s="215" t="s">
        <v>151</v>
      </c>
      <c r="D19" s="215" t="s">
        <v>2146</v>
      </c>
      <c r="E19" s="215">
        <v>10.0</v>
      </c>
      <c r="F19" s="217">
        <v>379.0</v>
      </c>
      <c r="G19" s="217" t="s">
        <v>2147</v>
      </c>
      <c r="H19" s="217" t="s">
        <v>2148</v>
      </c>
      <c r="I19" s="219" t="s">
        <v>2149</v>
      </c>
      <c r="J19" s="219" t="s">
        <v>2150</v>
      </c>
    </row>
    <row r="20">
      <c r="A20" s="213" t="s">
        <v>2081</v>
      </c>
      <c r="B20" s="213" t="s">
        <v>187</v>
      </c>
      <c r="C20" s="215" t="s">
        <v>167</v>
      </c>
      <c r="D20" s="215" t="s">
        <v>2151</v>
      </c>
      <c r="E20" s="215">
        <v>10.0</v>
      </c>
      <c r="F20" s="217">
        <v>384.0</v>
      </c>
      <c r="G20" s="217" t="s">
        <v>2152</v>
      </c>
      <c r="H20" s="217" t="s">
        <v>2153</v>
      </c>
      <c r="I20" s="219" t="s">
        <v>2154</v>
      </c>
      <c r="J20" s="219" t="s">
        <v>2155</v>
      </c>
    </row>
    <row r="21">
      <c r="A21" s="213" t="s">
        <v>2081</v>
      </c>
      <c r="B21" s="213" t="s">
        <v>2156</v>
      </c>
      <c r="C21" s="215" t="s">
        <v>174</v>
      </c>
      <c r="D21" s="215" t="s">
        <v>2157</v>
      </c>
      <c r="E21" s="215">
        <v>10.0</v>
      </c>
      <c r="F21" s="217">
        <v>365.0</v>
      </c>
      <c r="G21" s="217" t="s">
        <v>2152</v>
      </c>
      <c r="H21" s="217" t="s">
        <v>2158</v>
      </c>
      <c r="I21" s="219" t="s">
        <v>2102</v>
      </c>
      <c r="J21" s="219" t="s">
        <v>2097</v>
      </c>
    </row>
    <row r="22">
      <c r="A22" s="213" t="s">
        <v>2081</v>
      </c>
      <c r="B22" s="213" t="s">
        <v>168</v>
      </c>
      <c r="C22" s="215" t="s">
        <v>2159</v>
      </c>
      <c r="D22" s="215" t="s">
        <v>2160</v>
      </c>
      <c r="E22" s="215">
        <v>10.0</v>
      </c>
      <c r="F22" s="217">
        <v>459.0</v>
      </c>
      <c r="G22" s="217" t="s">
        <v>2161</v>
      </c>
      <c r="H22" s="217" t="s">
        <v>2162</v>
      </c>
      <c r="I22" s="219" t="s">
        <v>2163</v>
      </c>
      <c r="J22" s="219" t="s">
        <v>2164</v>
      </c>
    </row>
    <row r="23">
      <c r="A23" s="213" t="s">
        <v>2165</v>
      </c>
      <c r="B23" s="213" t="s">
        <v>2166</v>
      </c>
      <c r="C23" s="220" t="s">
        <v>2167</v>
      </c>
      <c r="D23" s="221" t="s">
        <v>2168</v>
      </c>
      <c r="E23" s="222" t="s">
        <v>2169</v>
      </c>
      <c r="F23" s="221" t="s">
        <v>2170</v>
      </c>
      <c r="G23" s="221" t="s">
        <v>2171</v>
      </c>
      <c r="H23" s="223" t="s">
        <v>2172</v>
      </c>
      <c r="I23" s="224"/>
      <c r="J23" s="224" t="s">
        <v>2173</v>
      </c>
      <c r="K23" s="225">
        <v>21.8</v>
      </c>
      <c r="L23" s="221">
        <v>40.0</v>
      </c>
      <c r="M23" s="226" t="s">
        <v>2174</v>
      </c>
      <c r="N23" s="226" t="s">
        <v>2173</v>
      </c>
      <c r="O23" s="221" t="s">
        <v>74</v>
      </c>
      <c r="P23" s="221" t="s">
        <v>2175</v>
      </c>
      <c r="Q23" s="221" t="s">
        <v>2176</v>
      </c>
      <c r="R23" s="221">
        <v>100.0</v>
      </c>
      <c r="S23" s="227" t="s">
        <v>2177</v>
      </c>
      <c r="T23" s="221">
        <v>100.0</v>
      </c>
      <c r="U23" s="227" t="s">
        <v>2177</v>
      </c>
    </row>
    <row r="24">
      <c r="A24" s="213"/>
      <c r="B24" s="21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4.71"/>
    <col customWidth="1" min="3" max="3" width="20.43"/>
    <col customWidth="1" min="4" max="4" width="17.71"/>
    <col customWidth="1" min="5" max="5" width="25.43"/>
    <col customWidth="1" min="6" max="6" width="20.0"/>
    <col customWidth="1" min="7" max="7" width="24.86"/>
    <col customWidth="1" min="8" max="8" width="29.86"/>
    <col customWidth="1" min="9" max="9" width="60.86"/>
    <col customWidth="1" min="10" max="10" width="27.29"/>
    <col customWidth="1" min="11" max="11" width="18.0"/>
    <col customWidth="1" min="12" max="12" width="28.71"/>
  </cols>
  <sheetData>
    <row r="1">
      <c r="A1" s="228" t="s">
        <v>2178</v>
      </c>
      <c r="B1" s="228" t="s">
        <v>2</v>
      </c>
      <c r="C1" s="228" t="s">
        <v>2072</v>
      </c>
      <c r="D1" s="228" t="s">
        <v>2179</v>
      </c>
      <c r="E1" s="228" t="s">
        <v>2180</v>
      </c>
      <c r="F1" s="228" t="s">
        <v>2181</v>
      </c>
      <c r="G1" s="228" t="s">
        <v>9</v>
      </c>
    </row>
    <row r="2">
      <c r="A2" s="229" t="s">
        <v>2182</v>
      </c>
      <c r="B2" s="230">
        <v>44105.0</v>
      </c>
      <c r="C2" s="231" t="s">
        <v>2183</v>
      </c>
      <c r="D2" s="231" t="s">
        <v>2184</v>
      </c>
      <c r="E2" s="231" t="s">
        <v>2185</v>
      </c>
      <c r="F2" s="231" t="s">
        <v>2186</v>
      </c>
      <c r="G2" s="231" t="s">
        <v>2187</v>
      </c>
    </row>
    <row r="3">
      <c r="A3" s="229" t="s">
        <v>2188</v>
      </c>
      <c r="B3" s="232">
        <v>44136.0</v>
      </c>
      <c r="C3" s="233" t="s">
        <v>2189</v>
      </c>
      <c r="D3" s="233" t="s">
        <v>384</v>
      </c>
      <c r="E3" s="233" t="s">
        <v>2190</v>
      </c>
      <c r="F3" s="233" t="s">
        <v>1285</v>
      </c>
      <c r="G3" s="233" t="s">
        <v>1721</v>
      </c>
    </row>
    <row r="4">
      <c r="A4" s="229" t="s">
        <v>2191</v>
      </c>
      <c r="B4" s="232">
        <v>44136.0</v>
      </c>
      <c r="C4" s="233" t="s">
        <v>2192</v>
      </c>
      <c r="D4" s="233" t="s">
        <v>37</v>
      </c>
      <c r="E4" s="233" t="s">
        <v>2190</v>
      </c>
      <c r="F4" s="233" t="s">
        <v>1285</v>
      </c>
      <c r="G4" s="233" t="s">
        <v>1721</v>
      </c>
    </row>
    <row r="5">
      <c r="A5" s="229" t="s">
        <v>2193</v>
      </c>
      <c r="B5" s="234">
        <v>44489.0</v>
      </c>
      <c r="C5" s="233" t="s">
        <v>2189</v>
      </c>
      <c r="D5" s="233" t="s">
        <v>139</v>
      </c>
      <c r="E5" s="233" t="s">
        <v>2185</v>
      </c>
      <c r="F5" s="233" t="s">
        <v>1285</v>
      </c>
      <c r="G5" s="233" t="s">
        <v>1721</v>
      </c>
    </row>
    <row r="6">
      <c r="A6" s="229" t="s">
        <v>2194</v>
      </c>
      <c r="B6" s="231" t="s">
        <v>2195</v>
      </c>
      <c r="C6" s="231" t="s">
        <v>2196</v>
      </c>
      <c r="D6" s="231" t="s">
        <v>2197</v>
      </c>
      <c r="E6" s="231" t="s">
        <v>2198</v>
      </c>
      <c r="F6" s="231" t="s">
        <v>2199</v>
      </c>
      <c r="G6" s="231" t="s">
        <v>2200</v>
      </c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</row>
    <row r="7">
      <c r="A7" s="229" t="s">
        <v>2201</v>
      </c>
      <c r="B7" s="233" t="s">
        <v>2202</v>
      </c>
      <c r="C7" s="233" t="s">
        <v>2203</v>
      </c>
      <c r="D7" s="233" t="s">
        <v>384</v>
      </c>
      <c r="E7" s="233" t="s">
        <v>2204</v>
      </c>
      <c r="F7" s="233" t="s">
        <v>1285</v>
      </c>
      <c r="G7" s="233" t="s">
        <v>1721</v>
      </c>
    </row>
    <row r="8">
      <c r="A8" s="229" t="s">
        <v>2205</v>
      </c>
      <c r="B8" s="233" t="s">
        <v>2195</v>
      </c>
      <c r="C8" s="233" t="s">
        <v>2206</v>
      </c>
      <c r="D8" s="233" t="s">
        <v>439</v>
      </c>
      <c r="E8" s="233" t="s">
        <v>2198</v>
      </c>
      <c r="F8" s="233" t="s">
        <v>1285</v>
      </c>
      <c r="G8" s="233" t="s">
        <v>1721</v>
      </c>
    </row>
    <row r="9">
      <c r="A9" s="229" t="s">
        <v>2207</v>
      </c>
      <c r="B9" s="233" t="s">
        <v>2195</v>
      </c>
      <c r="C9" s="233" t="s">
        <v>2206</v>
      </c>
      <c r="D9" s="233" t="s">
        <v>444</v>
      </c>
      <c r="E9" s="233" t="s">
        <v>2198</v>
      </c>
      <c r="F9" s="233" t="s">
        <v>1285</v>
      </c>
      <c r="G9" s="233" t="s">
        <v>1721</v>
      </c>
    </row>
    <row r="10">
      <c r="A10" s="229" t="s">
        <v>2208</v>
      </c>
      <c r="B10" s="233" t="s">
        <v>2195</v>
      </c>
      <c r="C10" s="233" t="s">
        <v>2209</v>
      </c>
      <c r="D10" s="233" t="s">
        <v>167</v>
      </c>
      <c r="E10" s="233" t="s">
        <v>2198</v>
      </c>
      <c r="F10" s="233" t="s">
        <v>1285</v>
      </c>
      <c r="G10" s="233" t="s">
        <v>1721</v>
      </c>
    </row>
    <row r="11">
      <c r="A11" s="229" t="s">
        <v>2210</v>
      </c>
      <c r="B11" s="233" t="s">
        <v>2195</v>
      </c>
      <c r="C11" s="233" t="s">
        <v>2206</v>
      </c>
      <c r="D11" s="233" t="s">
        <v>465</v>
      </c>
      <c r="E11" s="233" t="s">
        <v>2198</v>
      </c>
      <c r="F11" s="233" t="s">
        <v>1285</v>
      </c>
      <c r="G11" s="233" t="s">
        <v>1721</v>
      </c>
    </row>
    <row r="12">
      <c r="A12" s="229" t="s">
        <v>2211</v>
      </c>
      <c r="B12" s="233" t="s">
        <v>2195</v>
      </c>
      <c r="C12" s="233" t="s">
        <v>231</v>
      </c>
      <c r="D12" s="233" t="s">
        <v>230</v>
      </c>
      <c r="E12" s="233" t="s">
        <v>2198</v>
      </c>
      <c r="F12" s="233" t="s">
        <v>1285</v>
      </c>
      <c r="G12" s="233" t="s">
        <v>1721</v>
      </c>
    </row>
    <row r="13">
      <c r="A13" s="229" t="s">
        <v>2212</v>
      </c>
      <c r="B13" s="233" t="s">
        <v>2195</v>
      </c>
      <c r="C13" s="233" t="s">
        <v>422</v>
      </c>
      <c r="D13" s="233" t="s">
        <v>238</v>
      </c>
      <c r="E13" s="233" t="s">
        <v>2198</v>
      </c>
      <c r="F13" s="233" t="s">
        <v>1285</v>
      </c>
      <c r="G13" s="233" t="s">
        <v>1721</v>
      </c>
    </row>
    <row r="14">
      <c r="A14" s="229" t="s">
        <v>2213</v>
      </c>
      <c r="B14" s="233" t="s">
        <v>2195</v>
      </c>
      <c r="C14" s="233" t="s">
        <v>2214</v>
      </c>
      <c r="D14" s="233" t="s">
        <v>145</v>
      </c>
      <c r="E14" s="233" t="s">
        <v>2198</v>
      </c>
      <c r="F14" s="233" t="s">
        <v>1285</v>
      </c>
      <c r="G14" s="233" t="s">
        <v>1721</v>
      </c>
    </row>
    <row r="15">
      <c r="A15" s="229" t="s">
        <v>2215</v>
      </c>
      <c r="B15" s="234">
        <v>44337.0</v>
      </c>
      <c r="C15" s="233" t="s">
        <v>2171</v>
      </c>
      <c r="D15" s="233" t="s">
        <v>211</v>
      </c>
      <c r="E15" s="233" t="s">
        <v>2198</v>
      </c>
      <c r="F15" s="233" t="s">
        <v>1285</v>
      </c>
      <c r="G15" s="233" t="s">
        <v>1721</v>
      </c>
    </row>
    <row r="16">
      <c r="A16" s="229" t="s">
        <v>2216</v>
      </c>
      <c r="B16" s="234">
        <v>44276.0</v>
      </c>
      <c r="C16" s="233" t="s">
        <v>422</v>
      </c>
      <c r="D16" s="233" t="s">
        <v>421</v>
      </c>
      <c r="E16" s="233" t="s">
        <v>2198</v>
      </c>
      <c r="F16" s="233" t="s">
        <v>1285</v>
      </c>
      <c r="G16" s="233" t="s">
        <v>1721</v>
      </c>
    </row>
    <row r="17">
      <c r="A17" s="229" t="s">
        <v>2217</v>
      </c>
      <c r="B17" s="234">
        <v>44398.0</v>
      </c>
      <c r="C17" s="233" t="s">
        <v>2218</v>
      </c>
      <c r="D17" s="233" t="s">
        <v>427</v>
      </c>
      <c r="E17" s="233" t="s">
        <v>2219</v>
      </c>
      <c r="F17" s="233" t="s">
        <v>1285</v>
      </c>
      <c r="G17" s="233" t="s">
        <v>1721</v>
      </c>
    </row>
    <row r="18">
      <c r="A18" s="229" t="s">
        <v>2220</v>
      </c>
      <c r="B18" s="234">
        <v>44398.0</v>
      </c>
      <c r="C18" s="233" t="s">
        <v>2221</v>
      </c>
      <c r="D18" s="233" t="s">
        <v>750</v>
      </c>
      <c r="E18" s="233" t="s">
        <v>2219</v>
      </c>
      <c r="F18" s="233" t="s">
        <v>1285</v>
      </c>
      <c r="G18" s="233" t="s">
        <v>1803</v>
      </c>
    </row>
    <row r="19">
      <c r="A19" s="229" t="s">
        <v>2222</v>
      </c>
      <c r="B19" s="234">
        <v>44398.0</v>
      </c>
      <c r="C19" s="233" t="s">
        <v>2221</v>
      </c>
      <c r="D19" s="233" t="s">
        <v>750</v>
      </c>
      <c r="E19" s="233" t="s">
        <v>2223</v>
      </c>
      <c r="F19" s="233" t="s">
        <v>1285</v>
      </c>
      <c r="G19" s="233" t="s">
        <v>1803</v>
      </c>
    </row>
    <row r="20">
      <c r="A20" s="229" t="s">
        <v>2224</v>
      </c>
      <c r="B20" s="234">
        <v>44398.0</v>
      </c>
      <c r="C20" s="233" t="s">
        <v>2203</v>
      </c>
      <c r="D20" s="233" t="s">
        <v>384</v>
      </c>
      <c r="E20" s="233" t="s">
        <v>2219</v>
      </c>
      <c r="F20" s="233" t="s">
        <v>1285</v>
      </c>
      <c r="G20" s="233" t="s">
        <v>1803</v>
      </c>
    </row>
    <row r="21">
      <c r="A21" s="229" t="s">
        <v>2225</v>
      </c>
      <c r="B21" s="234">
        <v>44429.0</v>
      </c>
      <c r="C21" s="233" t="s">
        <v>2189</v>
      </c>
      <c r="D21" s="233" t="s">
        <v>106</v>
      </c>
      <c r="E21" s="233" t="s">
        <v>2226</v>
      </c>
      <c r="F21" s="233" t="s">
        <v>1285</v>
      </c>
      <c r="G21" s="233" t="s">
        <v>1803</v>
      </c>
    </row>
    <row r="22">
      <c r="A22" s="229" t="s">
        <v>2227</v>
      </c>
      <c r="B22" s="234">
        <v>44429.0</v>
      </c>
      <c r="C22" s="233" t="s">
        <v>2209</v>
      </c>
      <c r="D22" s="233" t="s">
        <v>743</v>
      </c>
      <c r="E22" s="233" t="s">
        <v>2226</v>
      </c>
      <c r="F22" s="233" t="s">
        <v>1285</v>
      </c>
      <c r="G22" s="233" t="s">
        <v>1803</v>
      </c>
    </row>
    <row r="23">
      <c r="A23" s="229" t="s">
        <v>2228</v>
      </c>
      <c r="B23" s="234">
        <v>44460.0</v>
      </c>
      <c r="C23" s="233" t="s">
        <v>2189</v>
      </c>
      <c r="D23" s="233" t="s">
        <v>384</v>
      </c>
      <c r="E23" s="233" t="s">
        <v>2229</v>
      </c>
      <c r="F23" s="233" t="s">
        <v>1285</v>
      </c>
      <c r="G23" s="233" t="s">
        <v>1803</v>
      </c>
    </row>
    <row r="24">
      <c r="A24" s="229" t="s">
        <v>2230</v>
      </c>
      <c r="B24" s="236">
        <v>44460.0</v>
      </c>
      <c r="C24" s="237" t="s">
        <v>2231</v>
      </c>
      <c r="D24" s="237" t="s">
        <v>795</v>
      </c>
      <c r="E24" s="237" t="s">
        <v>2232</v>
      </c>
      <c r="F24" s="237" t="s">
        <v>1285</v>
      </c>
      <c r="G24" s="237" t="s">
        <v>2233</v>
      </c>
    </row>
    <row r="25">
      <c r="A25" s="229" t="s">
        <v>2234</v>
      </c>
      <c r="B25" s="234">
        <v>44490.0</v>
      </c>
      <c r="C25" s="233" t="s">
        <v>2189</v>
      </c>
      <c r="D25" s="233" t="s">
        <v>384</v>
      </c>
      <c r="E25" s="233" t="s">
        <v>2232</v>
      </c>
      <c r="F25" s="233" t="s">
        <v>1285</v>
      </c>
      <c r="G25" s="233" t="s">
        <v>1721</v>
      </c>
    </row>
    <row r="26">
      <c r="A26" s="229" t="s">
        <v>2235</v>
      </c>
      <c r="B26" s="236">
        <v>44490.0</v>
      </c>
      <c r="C26" s="237" t="s">
        <v>2231</v>
      </c>
      <c r="D26" s="237" t="s">
        <v>795</v>
      </c>
      <c r="E26" s="237" t="s">
        <v>2232</v>
      </c>
      <c r="F26" s="237" t="s">
        <v>1285</v>
      </c>
      <c r="G26" s="237" t="s">
        <v>2236</v>
      </c>
    </row>
    <row r="27">
      <c r="A27" s="229" t="s">
        <v>2237</v>
      </c>
      <c r="B27" s="234">
        <v>44490.0</v>
      </c>
      <c r="C27" s="233" t="s">
        <v>2238</v>
      </c>
      <c r="D27" s="233" t="s">
        <v>830</v>
      </c>
      <c r="E27" s="233" t="s">
        <v>2232</v>
      </c>
      <c r="F27" s="233" t="s">
        <v>1285</v>
      </c>
      <c r="G27" s="233" t="s">
        <v>1721</v>
      </c>
    </row>
    <row r="28">
      <c r="A28" s="229" t="s">
        <v>2239</v>
      </c>
      <c r="B28" s="236">
        <v>44521.0</v>
      </c>
      <c r="C28" s="237" t="s">
        <v>2231</v>
      </c>
      <c r="D28" s="237" t="s">
        <v>795</v>
      </c>
      <c r="E28" s="237" t="s">
        <v>2240</v>
      </c>
      <c r="F28" s="237" t="s">
        <v>1285</v>
      </c>
      <c r="G28" s="237" t="s">
        <v>2233</v>
      </c>
    </row>
    <row r="29">
      <c r="A29" s="229" t="s">
        <v>2241</v>
      </c>
      <c r="B29" s="236">
        <v>44521.0</v>
      </c>
      <c r="C29" s="237" t="s">
        <v>946</v>
      </c>
      <c r="D29" s="237" t="s">
        <v>945</v>
      </c>
      <c r="E29" s="237" t="s">
        <v>2240</v>
      </c>
      <c r="F29" s="237" t="s">
        <v>2242</v>
      </c>
      <c r="G29" s="237" t="s">
        <v>2233</v>
      </c>
    </row>
    <row r="30">
      <c r="A30" s="229" t="s">
        <v>2243</v>
      </c>
      <c r="B30" s="238" t="s">
        <v>2244</v>
      </c>
      <c r="C30" s="233" t="s">
        <v>2189</v>
      </c>
      <c r="D30" s="233" t="s">
        <v>384</v>
      </c>
      <c r="E30" s="238" t="s">
        <v>2245</v>
      </c>
      <c r="F30" s="238" t="s">
        <v>1285</v>
      </c>
      <c r="G30" s="238" t="s">
        <v>1721</v>
      </c>
    </row>
    <row r="31">
      <c r="A31" s="229" t="s">
        <v>2246</v>
      </c>
      <c r="B31" s="239" t="s">
        <v>2244</v>
      </c>
      <c r="C31" s="231" t="s">
        <v>2238</v>
      </c>
      <c r="D31" s="231" t="s">
        <v>830</v>
      </c>
      <c r="E31" s="239" t="s">
        <v>2245</v>
      </c>
      <c r="F31" s="239" t="s">
        <v>2199</v>
      </c>
      <c r="G31" s="240"/>
    </row>
    <row r="32">
      <c r="A32" s="229" t="s">
        <v>2247</v>
      </c>
      <c r="B32" s="241" t="s">
        <v>2244</v>
      </c>
      <c r="C32" s="241" t="s">
        <v>2248</v>
      </c>
      <c r="D32" s="241" t="s">
        <v>923</v>
      </c>
      <c r="E32" s="241" t="s">
        <v>2245</v>
      </c>
      <c r="F32" s="241" t="s">
        <v>2199</v>
      </c>
      <c r="G32" s="241" t="s">
        <v>2249</v>
      </c>
    </row>
    <row r="33">
      <c r="A33" s="229" t="s">
        <v>2250</v>
      </c>
      <c r="B33" s="238" t="s">
        <v>2244</v>
      </c>
      <c r="C33" s="229" t="s">
        <v>2231</v>
      </c>
      <c r="D33" s="229" t="s">
        <v>795</v>
      </c>
      <c r="E33" s="238" t="s">
        <v>2251</v>
      </c>
      <c r="F33" s="242" t="s">
        <v>1285</v>
      </c>
      <c r="G33" s="233" t="s">
        <v>1803</v>
      </c>
    </row>
    <row r="34">
      <c r="A34" s="229" t="s">
        <v>2252</v>
      </c>
      <c r="B34" s="238" t="s">
        <v>2244</v>
      </c>
      <c r="C34" s="238" t="s">
        <v>2253</v>
      </c>
      <c r="D34" s="238" t="s">
        <v>465</v>
      </c>
      <c r="E34" s="238" t="s">
        <v>2245</v>
      </c>
      <c r="F34" s="242" t="s">
        <v>1285</v>
      </c>
      <c r="G34" s="233" t="s">
        <v>1803</v>
      </c>
    </row>
    <row r="35">
      <c r="A35" s="229" t="s">
        <v>2254</v>
      </c>
      <c r="B35" s="238" t="s">
        <v>2244</v>
      </c>
      <c r="C35" s="238" t="s">
        <v>2255</v>
      </c>
      <c r="D35" s="238" t="s">
        <v>665</v>
      </c>
      <c r="E35" s="238" t="s">
        <v>2245</v>
      </c>
      <c r="F35" s="242" t="s">
        <v>1285</v>
      </c>
      <c r="G35" s="233" t="s">
        <v>1803</v>
      </c>
    </row>
    <row r="36">
      <c r="A36" s="229" t="s">
        <v>2256</v>
      </c>
      <c r="B36" s="241" t="s">
        <v>2244</v>
      </c>
      <c r="C36" s="241" t="s">
        <v>2257</v>
      </c>
      <c r="D36" s="241" t="s">
        <v>1178</v>
      </c>
      <c r="E36" s="241" t="s">
        <v>2245</v>
      </c>
      <c r="F36" s="241" t="s">
        <v>2199</v>
      </c>
      <c r="G36" s="243" t="s">
        <v>2233</v>
      </c>
    </row>
    <row r="37">
      <c r="A37" s="229" t="s">
        <v>2258</v>
      </c>
      <c r="B37" s="244" t="s">
        <v>2244</v>
      </c>
      <c r="C37" s="244" t="s">
        <v>2259</v>
      </c>
      <c r="D37" s="244" t="s">
        <v>795</v>
      </c>
      <c r="E37" s="244" t="s">
        <v>2245</v>
      </c>
      <c r="F37" s="245" t="s">
        <v>1285</v>
      </c>
      <c r="G37" s="229" t="s">
        <v>1803</v>
      </c>
    </row>
    <row r="38">
      <c r="A38" s="229" t="s">
        <v>2260</v>
      </c>
      <c r="B38" s="246">
        <v>44614.0</v>
      </c>
      <c r="C38" s="244" t="s">
        <v>2261</v>
      </c>
      <c r="D38" s="244" t="s">
        <v>557</v>
      </c>
      <c r="E38" s="244" t="s">
        <v>2245</v>
      </c>
      <c r="F38" s="245" t="s">
        <v>1285</v>
      </c>
      <c r="G38" s="229" t="s">
        <v>1803</v>
      </c>
    </row>
    <row r="39">
      <c r="A39" s="229" t="s">
        <v>2262</v>
      </c>
      <c r="B39" s="246">
        <v>44614.0</v>
      </c>
      <c r="C39" s="244" t="s">
        <v>2263</v>
      </c>
      <c r="D39" s="244" t="s">
        <v>903</v>
      </c>
      <c r="E39" s="244" t="s">
        <v>2245</v>
      </c>
      <c r="F39" s="245" t="s">
        <v>1285</v>
      </c>
      <c r="G39" s="229" t="s">
        <v>1803</v>
      </c>
    </row>
    <row r="40">
      <c r="A40" s="229" t="s">
        <v>2264</v>
      </c>
      <c r="B40" s="246">
        <v>44614.0</v>
      </c>
      <c r="C40" s="244" t="s">
        <v>2265</v>
      </c>
      <c r="D40" s="244" t="s">
        <v>1226</v>
      </c>
      <c r="E40" s="244" t="s">
        <v>2245</v>
      </c>
      <c r="F40" s="245" t="s">
        <v>1285</v>
      </c>
      <c r="G40" s="229" t="s">
        <v>1803</v>
      </c>
    </row>
    <row r="41">
      <c r="A41" s="247"/>
      <c r="B41" s="248"/>
      <c r="C41" s="240"/>
      <c r="D41" s="240"/>
      <c r="E41" s="239"/>
      <c r="F41" s="240"/>
      <c r="G41" s="240"/>
    </row>
    <row r="42">
      <c r="A42" s="247"/>
      <c r="B42" s="249"/>
      <c r="C42" s="250"/>
      <c r="D42" s="250"/>
      <c r="E42" s="244"/>
      <c r="F42" s="245"/>
      <c r="G42" s="229"/>
    </row>
    <row r="43">
      <c r="A43" s="250"/>
      <c r="B43" s="249"/>
      <c r="C43" s="229"/>
      <c r="D43" s="250"/>
      <c r="E43" s="244"/>
      <c r="F43" s="245"/>
      <c r="G43" s="229"/>
    </row>
    <row r="44">
      <c r="A44" s="250"/>
      <c r="B44" s="249"/>
      <c r="C44" s="250"/>
      <c r="D44" s="250"/>
      <c r="E44" s="244"/>
      <c r="F44" s="244"/>
      <c r="G44" s="229"/>
    </row>
    <row r="45">
      <c r="A45" s="250"/>
      <c r="B45" s="249"/>
      <c r="C45" s="250"/>
      <c r="D45" s="250"/>
      <c r="E45" s="244"/>
      <c r="F45" s="244"/>
      <c r="G45" s="229"/>
    </row>
    <row r="46">
      <c r="A46" s="250"/>
      <c r="B46" s="251"/>
      <c r="C46" s="231"/>
      <c r="D46" s="251"/>
      <c r="E46" s="239"/>
      <c r="F46" s="240"/>
      <c r="G46" s="252"/>
    </row>
    <row r="47">
      <c r="A47" s="250"/>
      <c r="B47" s="250"/>
      <c r="C47" s="247"/>
      <c r="D47" s="250"/>
      <c r="E47" s="244"/>
      <c r="F47" s="245"/>
      <c r="G47" s="247"/>
    </row>
    <row r="48">
      <c r="A48" s="250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7.43"/>
    <col customWidth="1" min="3" max="3" width="25.0"/>
    <col customWidth="1" min="4" max="4" width="35.29"/>
    <col customWidth="1" min="5" max="5" width="18.0"/>
    <col customWidth="1" min="6" max="6" width="22.71"/>
    <col customWidth="1" min="7" max="7" width="18.0"/>
    <col customWidth="1" min="8" max="8" width="36.57"/>
  </cols>
  <sheetData>
    <row r="1">
      <c r="A1" s="253" t="s">
        <v>2266</v>
      </c>
      <c r="B1" s="254" t="s">
        <v>2267</v>
      </c>
      <c r="C1" s="255"/>
      <c r="D1" s="256" t="s">
        <v>2268</v>
      </c>
      <c r="E1" s="256" t="s">
        <v>2269</v>
      </c>
      <c r="F1" s="256" t="s">
        <v>2270</v>
      </c>
      <c r="G1" s="256" t="s">
        <v>2271</v>
      </c>
      <c r="H1" s="256" t="s">
        <v>2272</v>
      </c>
    </row>
    <row r="2">
      <c r="A2" s="257"/>
      <c r="B2" s="257" t="s">
        <v>927</v>
      </c>
      <c r="C2" s="258" t="s">
        <v>2273</v>
      </c>
      <c r="D2" s="259"/>
      <c r="E2" s="259"/>
      <c r="F2" s="259"/>
      <c r="G2" s="259" t="s">
        <v>2274</v>
      </c>
      <c r="H2" s="260" t="s">
        <v>2275</v>
      </c>
    </row>
    <row r="3">
      <c r="A3" s="261"/>
      <c r="B3" s="262" t="s">
        <v>857</v>
      </c>
      <c r="C3" s="263" t="s">
        <v>2276</v>
      </c>
      <c r="D3" s="264" t="s">
        <v>858</v>
      </c>
      <c r="E3" s="265" t="s">
        <v>2277</v>
      </c>
      <c r="F3" s="265"/>
      <c r="G3" s="265" t="s">
        <v>386</v>
      </c>
      <c r="H3" s="260" t="s">
        <v>2278</v>
      </c>
    </row>
    <row r="4">
      <c r="A4" s="261"/>
      <c r="B4" s="262" t="s">
        <v>2279</v>
      </c>
      <c r="C4" s="263" t="s">
        <v>2280</v>
      </c>
      <c r="D4" s="266"/>
      <c r="E4" s="265"/>
      <c r="F4" s="265"/>
      <c r="G4" s="265" t="s">
        <v>386</v>
      </c>
      <c r="H4" s="260" t="s">
        <v>1027</v>
      </c>
    </row>
    <row r="5">
      <c r="A5" s="261"/>
      <c r="B5" s="262" t="s">
        <v>480</v>
      </c>
      <c r="C5" s="263" t="s">
        <v>2281</v>
      </c>
      <c r="D5" s="266"/>
      <c r="E5" s="265"/>
      <c r="F5" s="265"/>
      <c r="G5" s="265" t="s">
        <v>386</v>
      </c>
      <c r="H5" s="260" t="s">
        <v>2282</v>
      </c>
    </row>
    <row r="6">
      <c r="A6" s="261"/>
      <c r="B6" s="262" t="s">
        <v>831</v>
      </c>
      <c r="C6" s="263" t="s">
        <v>2283</v>
      </c>
      <c r="D6" s="266"/>
      <c r="E6" s="265"/>
      <c r="F6" s="265"/>
      <c r="G6" s="265" t="s">
        <v>386</v>
      </c>
      <c r="H6" s="260" t="s">
        <v>2278</v>
      </c>
    </row>
    <row r="7">
      <c r="A7" s="257"/>
      <c r="B7" s="267" t="s">
        <v>2284</v>
      </c>
      <c r="C7" s="263" t="s">
        <v>231</v>
      </c>
      <c r="D7" s="266"/>
      <c r="E7" s="265"/>
      <c r="F7" s="265"/>
      <c r="G7" s="265" t="s">
        <v>386</v>
      </c>
      <c r="H7" s="260" t="s">
        <v>2278</v>
      </c>
    </row>
    <row r="8">
      <c r="A8" s="268"/>
      <c r="B8" s="262" t="s">
        <v>2285</v>
      </c>
      <c r="C8" s="263" t="s">
        <v>2286</v>
      </c>
      <c r="D8" s="266"/>
      <c r="E8" s="265"/>
      <c r="F8" s="265"/>
      <c r="G8" s="265" t="s">
        <v>386</v>
      </c>
      <c r="H8" s="260" t="s">
        <v>2282</v>
      </c>
    </row>
    <row r="9">
      <c r="A9" s="261"/>
      <c r="B9" s="262" t="s">
        <v>739</v>
      </c>
      <c r="C9" s="263" t="s">
        <v>400</v>
      </c>
      <c r="D9" s="266"/>
      <c r="E9" s="265"/>
      <c r="F9" s="265"/>
      <c r="G9" s="265" t="s">
        <v>2287</v>
      </c>
      <c r="H9" s="260" t="s">
        <v>2288</v>
      </c>
    </row>
    <row r="10">
      <c r="A10" s="269"/>
      <c r="B10" s="270" t="s">
        <v>2289</v>
      </c>
      <c r="C10" s="263" t="s">
        <v>2290</v>
      </c>
      <c r="D10" s="266"/>
      <c r="E10" s="265"/>
      <c r="F10" s="265"/>
      <c r="G10" s="265" t="s">
        <v>386</v>
      </c>
      <c r="H10" s="260" t="s">
        <v>2291</v>
      </c>
    </row>
    <row r="11">
      <c r="A11" s="261"/>
      <c r="B11" s="262" t="s">
        <v>771</v>
      </c>
      <c r="C11" s="263" t="s">
        <v>2292</v>
      </c>
      <c r="D11" s="266"/>
      <c r="E11" s="265"/>
      <c r="F11" s="265"/>
      <c r="G11" s="265" t="s">
        <v>386</v>
      </c>
      <c r="H11" s="260" t="s">
        <v>2293</v>
      </c>
    </row>
    <row r="12">
      <c r="A12" s="261"/>
      <c r="B12" s="271" t="s">
        <v>733</v>
      </c>
      <c r="C12" s="272" t="s">
        <v>2294</v>
      </c>
      <c r="D12" s="273"/>
      <c r="E12" s="265"/>
      <c r="F12" s="265"/>
      <c r="G12" s="265" t="s">
        <v>386</v>
      </c>
      <c r="H12" s="260" t="s">
        <v>2295</v>
      </c>
    </row>
    <row r="13">
      <c r="A13" s="261"/>
      <c r="B13" s="262" t="s">
        <v>2296</v>
      </c>
      <c r="C13" s="263" t="s">
        <v>2297</v>
      </c>
      <c r="D13" s="266"/>
      <c r="E13" s="265"/>
      <c r="F13" s="265"/>
      <c r="G13" s="265" t="s">
        <v>386</v>
      </c>
      <c r="H13" s="260" t="s">
        <v>1027</v>
      </c>
    </row>
    <row r="14">
      <c r="A14" s="261"/>
      <c r="B14" s="261" t="s">
        <v>710</v>
      </c>
      <c r="C14" s="258" t="s">
        <v>2298</v>
      </c>
      <c r="D14" s="259"/>
      <c r="E14" s="259"/>
      <c r="F14" s="259"/>
      <c r="G14" s="259" t="s">
        <v>696</v>
      </c>
      <c r="H14" s="260" t="s">
        <v>754</v>
      </c>
    </row>
    <row r="15">
      <c r="A15" s="261"/>
      <c r="B15" s="262" t="s">
        <v>440</v>
      </c>
      <c r="C15" s="263" t="s">
        <v>2299</v>
      </c>
      <c r="D15" s="266"/>
      <c r="E15" s="265"/>
      <c r="F15" s="265"/>
      <c r="G15" s="265" t="s">
        <v>386</v>
      </c>
      <c r="H15" s="260" t="s">
        <v>2288</v>
      </c>
    </row>
    <row r="16">
      <c r="A16" s="261"/>
      <c r="B16" s="262" t="s">
        <v>659</v>
      </c>
      <c r="C16" s="263" t="s">
        <v>2300</v>
      </c>
      <c r="D16" s="266"/>
      <c r="E16" s="265"/>
      <c r="F16" s="265"/>
      <c r="G16" s="265" t="s">
        <v>386</v>
      </c>
      <c r="H16" s="260" t="s">
        <v>2293</v>
      </c>
    </row>
    <row r="17">
      <c r="A17" s="261"/>
      <c r="B17" s="262" t="s">
        <v>239</v>
      </c>
      <c r="C17" s="263" t="s">
        <v>422</v>
      </c>
      <c r="D17" s="266"/>
      <c r="E17" s="265"/>
      <c r="F17" s="265"/>
      <c r="G17" s="265" t="s">
        <v>386</v>
      </c>
      <c r="H17" s="260" t="s">
        <v>2288</v>
      </c>
    </row>
    <row r="18">
      <c r="A18" s="261"/>
      <c r="B18" s="262" t="s">
        <v>575</v>
      </c>
      <c r="C18" s="274" t="s">
        <v>2301</v>
      </c>
      <c r="D18" s="266"/>
      <c r="E18" s="265"/>
      <c r="F18" s="265"/>
      <c r="G18" s="265" t="s">
        <v>386</v>
      </c>
      <c r="H18" s="260" t="s">
        <v>2293</v>
      </c>
    </row>
    <row r="19">
      <c r="A19" s="261"/>
      <c r="B19" s="262" t="s">
        <v>564</v>
      </c>
      <c r="C19" s="263" t="s">
        <v>2302</v>
      </c>
      <c r="D19" s="266"/>
      <c r="E19" s="265"/>
      <c r="F19" s="265"/>
      <c r="G19" s="265" t="s">
        <v>386</v>
      </c>
      <c r="H19" s="260" t="s">
        <v>2293</v>
      </c>
    </row>
    <row r="20">
      <c r="A20" s="257"/>
      <c r="B20" s="267" t="s">
        <v>514</v>
      </c>
      <c r="C20" s="263" t="s">
        <v>2303</v>
      </c>
      <c r="D20" s="266"/>
      <c r="E20" s="265"/>
      <c r="F20" s="265"/>
      <c r="G20" s="265" t="s">
        <v>386</v>
      </c>
      <c r="H20" s="260" t="s">
        <v>2278</v>
      </c>
    </row>
    <row r="21">
      <c r="A21" s="261"/>
      <c r="B21" s="262" t="s">
        <v>294</v>
      </c>
      <c r="C21" s="263" t="s">
        <v>2304</v>
      </c>
      <c r="D21" s="266"/>
      <c r="E21" s="265"/>
      <c r="F21" s="265"/>
      <c r="G21" s="265" t="s">
        <v>386</v>
      </c>
      <c r="H21" s="260" t="s">
        <v>2288</v>
      </c>
    </row>
    <row r="22">
      <c r="A22" s="257"/>
      <c r="B22" s="267" t="s">
        <v>1240</v>
      </c>
      <c r="C22" s="263" t="s">
        <v>520</v>
      </c>
      <c r="D22" s="266"/>
      <c r="E22" s="265"/>
      <c r="F22" s="265"/>
      <c r="G22" s="265" t="s">
        <v>386</v>
      </c>
      <c r="H22" s="260" t="s">
        <v>2293</v>
      </c>
    </row>
    <row r="23">
      <c r="A23" s="261"/>
      <c r="B23" s="262" t="s">
        <v>428</v>
      </c>
      <c r="C23" s="263" t="s">
        <v>2305</v>
      </c>
      <c r="D23" s="266"/>
      <c r="E23" s="265"/>
      <c r="F23" s="265"/>
      <c r="G23" s="265" t="s">
        <v>386</v>
      </c>
      <c r="H23" s="260" t="s">
        <v>2282</v>
      </c>
    </row>
    <row r="24">
      <c r="A24" s="268"/>
      <c r="B24" s="262" t="s">
        <v>969</v>
      </c>
      <c r="C24" s="263" t="s">
        <v>2306</v>
      </c>
      <c r="D24" s="266"/>
      <c r="E24" s="265"/>
      <c r="F24" s="265"/>
      <c r="G24" s="265" t="s">
        <v>386</v>
      </c>
      <c r="H24" s="260" t="s">
        <v>2282</v>
      </c>
    </row>
    <row r="25">
      <c r="A25" s="261"/>
      <c r="B25" s="262" t="s">
        <v>366</v>
      </c>
      <c r="C25" s="263" t="s">
        <v>2307</v>
      </c>
      <c r="D25" s="266"/>
      <c r="E25" s="265"/>
      <c r="F25" s="265"/>
      <c r="G25" s="265" t="s">
        <v>386</v>
      </c>
      <c r="H25" s="260" t="s">
        <v>2308</v>
      </c>
    </row>
    <row r="26">
      <c r="A26" s="261"/>
      <c r="B26" s="262" t="s">
        <v>325</v>
      </c>
      <c r="C26" s="263" t="s">
        <v>2309</v>
      </c>
      <c r="D26" s="266"/>
      <c r="E26" s="265"/>
      <c r="F26" s="265"/>
      <c r="G26" s="265" t="s">
        <v>386</v>
      </c>
      <c r="H26" s="260" t="s">
        <v>2288</v>
      </c>
    </row>
    <row r="27">
      <c r="A27" s="261"/>
      <c r="B27" s="262" t="s">
        <v>1854</v>
      </c>
      <c r="C27" s="263" t="s">
        <v>2310</v>
      </c>
      <c r="D27" s="266"/>
      <c r="E27" s="265"/>
      <c r="F27" s="265"/>
      <c r="G27" s="265" t="s">
        <v>386</v>
      </c>
      <c r="H27" s="260" t="s">
        <v>2293</v>
      </c>
    </row>
    <row r="28">
      <c r="A28" s="261"/>
      <c r="B28" s="262" t="s">
        <v>206</v>
      </c>
      <c r="C28" s="263" t="s">
        <v>2311</v>
      </c>
      <c r="D28" s="266"/>
      <c r="E28" s="265"/>
      <c r="F28" s="265"/>
      <c r="G28" s="265" t="s">
        <v>386</v>
      </c>
      <c r="H28" s="260" t="s">
        <v>2312</v>
      </c>
    </row>
    <row r="29">
      <c r="A29" s="261"/>
      <c r="B29" s="262" t="s">
        <v>2313</v>
      </c>
      <c r="C29" s="263" t="s">
        <v>2314</v>
      </c>
      <c r="D29" s="266"/>
      <c r="E29" s="265"/>
      <c r="F29" s="265"/>
      <c r="G29" s="265" t="s">
        <v>386</v>
      </c>
      <c r="H29" s="260" t="s">
        <v>2295</v>
      </c>
    </row>
    <row r="30">
      <c r="A30" s="261"/>
      <c r="B30" s="262" t="s">
        <v>280</v>
      </c>
      <c r="C30" s="263" t="s">
        <v>2315</v>
      </c>
      <c r="D30" s="266"/>
      <c r="E30" s="265"/>
      <c r="F30" s="265"/>
      <c r="G30" s="265" t="s">
        <v>386</v>
      </c>
      <c r="H30" s="260" t="s">
        <v>1027</v>
      </c>
    </row>
    <row r="31">
      <c r="A31" s="261"/>
      <c r="B31" s="262" t="s">
        <v>277</v>
      </c>
      <c r="C31" s="263" t="s">
        <v>2316</v>
      </c>
      <c r="D31" s="266"/>
      <c r="E31" s="265"/>
      <c r="F31" s="265"/>
      <c r="G31" s="265" t="s">
        <v>386</v>
      </c>
      <c r="H31" s="260" t="s">
        <v>2293</v>
      </c>
    </row>
    <row r="32">
      <c r="A32" s="261"/>
      <c r="B32" s="262" t="s">
        <v>273</v>
      </c>
      <c r="C32" s="263" t="s">
        <v>2317</v>
      </c>
      <c r="D32" s="266"/>
      <c r="E32" s="265"/>
      <c r="F32" s="265"/>
      <c r="G32" s="265" t="s">
        <v>386</v>
      </c>
      <c r="H32" s="260" t="s">
        <v>2293</v>
      </c>
    </row>
    <row r="33">
      <c r="A33" s="261"/>
      <c r="B33" s="262" t="s">
        <v>2318</v>
      </c>
      <c r="C33" s="263" t="s">
        <v>2319</v>
      </c>
      <c r="D33" s="266"/>
      <c r="E33" s="265"/>
      <c r="F33" s="265"/>
      <c r="G33" s="265" t="s">
        <v>386</v>
      </c>
      <c r="H33" s="260" t="s">
        <v>2288</v>
      </c>
    </row>
    <row r="34">
      <c r="A34" s="261"/>
      <c r="B34" s="262" t="s">
        <v>89</v>
      </c>
      <c r="C34" s="263" t="s">
        <v>2320</v>
      </c>
      <c r="D34" s="266"/>
      <c r="E34" s="265"/>
      <c r="F34" s="265"/>
      <c r="G34" s="265" t="s">
        <v>386</v>
      </c>
      <c r="H34" s="260" t="s">
        <v>2282</v>
      </c>
    </row>
    <row r="35">
      <c r="A35" s="261"/>
      <c r="B35" s="262" t="s">
        <v>198</v>
      </c>
      <c r="C35" s="263" t="s">
        <v>2321</v>
      </c>
      <c r="D35" s="266"/>
      <c r="E35" s="265"/>
      <c r="F35" s="265"/>
      <c r="G35" s="265" t="s">
        <v>386</v>
      </c>
      <c r="H35" s="260" t="s">
        <v>2288</v>
      </c>
    </row>
    <row r="36">
      <c r="A36" s="261"/>
      <c r="B36" s="262" t="s">
        <v>2322</v>
      </c>
      <c r="C36" s="263" t="s">
        <v>2323</v>
      </c>
      <c r="D36" s="266"/>
      <c r="E36" s="265"/>
      <c r="F36" s="265"/>
      <c r="G36" s="265" t="s">
        <v>386</v>
      </c>
      <c r="H36" s="260" t="s">
        <v>2282</v>
      </c>
    </row>
    <row r="37">
      <c r="A37" s="261"/>
      <c r="B37" s="262" t="s">
        <v>2324</v>
      </c>
      <c r="C37" s="263" t="s">
        <v>2325</v>
      </c>
      <c r="D37" s="266"/>
      <c r="E37" s="265"/>
      <c r="F37" s="265"/>
      <c r="G37" s="265" t="s">
        <v>386</v>
      </c>
      <c r="H37" s="260" t="s">
        <v>2282</v>
      </c>
    </row>
    <row r="38">
      <c r="A38" s="261"/>
      <c r="B38" s="262" t="s">
        <v>202</v>
      </c>
      <c r="C38" s="263" t="s">
        <v>2326</v>
      </c>
      <c r="D38" s="266"/>
      <c r="E38" s="265"/>
      <c r="F38" s="265"/>
      <c r="G38" s="265" t="s">
        <v>386</v>
      </c>
      <c r="H38" s="260" t="s">
        <v>2293</v>
      </c>
    </row>
    <row r="39">
      <c r="A39" s="261"/>
      <c r="B39" s="262" t="s">
        <v>194</v>
      </c>
      <c r="C39" s="263" t="s">
        <v>2327</v>
      </c>
      <c r="D39" s="266"/>
      <c r="E39" s="265"/>
      <c r="F39" s="265"/>
      <c r="G39" s="265" t="s">
        <v>386</v>
      </c>
      <c r="H39" s="260" t="s">
        <v>2293</v>
      </c>
    </row>
    <row r="40">
      <c r="A40" s="261"/>
      <c r="B40" s="262" t="s">
        <v>2328</v>
      </c>
      <c r="C40" s="263" t="s">
        <v>1388</v>
      </c>
      <c r="D40" s="266"/>
      <c r="E40" s="265"/>
      <c r="F40" s="265"/>
      <c r="G40" s="265" t="s">
        <v>386</v>
      </c>
      <c r="H40" s="260" t="s">
        <v>2329</v>
      </c>
    </row>
    <row r="41">
      <c r="A41" s="261"/>
      <c r="B41" s="262" t="s">
        <v>2330</v>
      </c>
      <c r="C41" s="263" t="s">
        <v>2331</v>
      </c>
      <c r="D41" s="266"/>
      <c r="E41" s="265"/>
      <c r="F41" s="265"/>
      <c r="G41" s="265" t="s">
        <v>386</v>
      </c>
      <c r="H41" s="260" t="s">
        <v>2282</v>
      </c>
    </row>
    <row r="42">
      <c r="A42" s="261"/>
      <c r="B42" s="262" t="s">
        <v>2332</v>
      </c>
      <c r="C42" s="263" t="s">
        <v>2333</v>
      </c>
      <c r="D42" s="266"/>
      <c r="E42" s="265"/>
      <c r="F42" s="265"/>
      <c r="G42" s="265" t="s">
        <v>386</v>
      </c>
      <c r="H42" s="260" t="s">
        <v>2282</v>
      </c>
    </row>
    <row r="43">
      <c r="A43" s="275" t="s">
        <v>16</v>
      </c>
      <c r="B43" s="276"/>
      <c r="C43" s="258"/>
      <c r="D43" s="277"/>
      <c r="E43" s="265"/>
      <c r="F43" s="259"/>
      <c r="G43" s="259"/>
      <c r="H43" s="260"/>
    </row>
    <row r="44">
      <c r="A44" s="275" t="s">
        <v>37</v>
      </c>
      <c r="B44" s="278" t="s">
        <v>2324</v>
      </c>
      <c r="C44" s="279" t="s">
        <v>2325</v>
      </c>
      <c r="D44" s="280" t="s">
        <v>41</v>
      </c>
      <c r="E44" s="265" t="s">
        <v>2277</v>
      </c>
      <c r="F44" s="259"/>
      <c r="G44" s="259"/>
      <c r="H44" s="260"/>
    </row>
    <row r="45">
      <c r="A45" s="275" t="s">
        <v>50</v>
      </c>
      <c r="B45" s="281" t="s">
        <v>927</v>
      </c>
      <c r="C45" s="282" t="s">
        <v>2273</v>
      </c>
      <c r="D45" s="280" t="s">
        <v>53</v>
      </c>
      <c r="E45" s="265"/>
      <c r="F45" s="259"/>
      <c r="G45" s="259"/>
      <c r="H45" s="260"/>
    </row>
    <row r="46">
      <c r="A46" s="275" t="s">
        <v>65</v>
      </c>
      <c r="B46" s="276" t="s">
        <v>2322</v>
      </c>
      <c r="C46" s="282" t="s">
        <v>2323</v>
      </c>
      <c r="D46" s="280" t="s">
        <v>67</v>
      </c>
      <c r="E46" s="265" t="s">
        <v>2277</v>
      </c>
      <c r="F46" s="259"/>
      <c r="G46" s="259"/>
      <c r="H46" s="260"/>
    </row>
    <row r="47">
      <c r="A47" s="275" t="s">
        <v>71</v>
      </c>
      <c r="B47" s="281" t="s">
        <v>428</v>
      </c>
      <c r="C47" s="282" t="s">
        <v>2305</v>
      </c>
      <c r="D47" s="280" t="s">
        <v>73</v>
      </c>
      <c r="E47" s="265" t="s">
        <v>2277</v>
      </c>
      <c r="F47" s="259"/>
      <c r="G47" s="259"/>
      <c r="H47" s="260"/>
    </row>
    <row r="48">
      <c r="A48" s="275" t="s">
        <v>78</v>
      </c>
      <c r="B48" s="281" t="s">
        <v>51</v>
      </c>
      <c r="C48" s="282" t="s">
        <v>2273</v>
      </c>
      <c r="D48" s="280" t="s">
        <v>2334</v>
      </c>
      <c r="E48" s="265"/>
      <c r="F48" s="259"/>
      <c r="G48" s="259"/>
      <c r="H48" s="260"/>
    </row>
    <row r="49">
      <c r="A49" s="275" t="s">
        <v>83</v>
      </c>
      <c r="B49" s="281" t="s">
        <v>85</v>
      </c>
      <c r="C49" s="282" t="s">
        <v>2335</v>
      </c>
      <c r="D49" s="280"/>
      <c r="E49" s="265"/>
      <c r="F49" s="259"/>
      <c r="G49" s="259"/>
      <c r="H49" s="260"/>
    </row>
    <row r="50">
      <c r="A50" s="275" t="s">
        <v>87</v>
      </c>
      <c r="B50" s="276" t="s">
        <v>89</v>
      </c>
      <c r="C50" s="282" t="s">
        <v>2320</v>
      </c>
      <c r="D50" s="280" t="s">
        <v>90</v>
      </c>
      <c r="E50" s="265" t="s">
        <v>2336</v>
      </c>
      <c r="F50" s="259" t="s">
        <v>2337</v>
      </c>
      <c r="G50" s="259"/>
      <c r="H50" s="260"/>
    </row>
    <row r="51">
      <c r="A51" s="275" t="s">
        <v>95</v>
      </c>
      <c r="B51" s="281" t="s">
        <v>1014</v>
      </c>
      <c r="C51" s="282" t="s">
        <v>2281</v>
      </c>
      <c r="D51" s="280"/>
      <c r="E51" s="265" t="s">
        <v>2336</v>
      </c>
      <c r="F51" s="259"/>
      <c r="G51" s="259"/>
      <c r="H51" s="260"/>
    </row>
    <row r="52">
      <c r="A52" s="275" t="s">
        <v>106</v>
      </c>
      <c r="B52" s="276" t="s">
        <v>133</v>
      </c>
      <c r="C52" s="282" t="s">
        <v>2306</v>
      </c>
      <c r="D52" s="280" t="s">
        <v>108</v>
      </c>
      <c r="E52" s="265" t="s">
        <v>2336</v>
      </c>
      <c r="F52" s="259"/>
      <c r="G52" s="259"/>
      <c r="H52" s="260"/>
    </row>
    <row r="53">
      <c r="A53" s="275" t="s">
        <v>115</v>
      </c>
      <c r="B53" s="276" t="s">
        <v>2328</v>
      </c>
      <c r="C53" s="282" t="s">
        <v>1388</v>
      </c>
      <c r="D53" s="280"/>
      <c r="E53" s="265" t="s">
        <v>2336</v>
      </c>
      <c r="F53" s="259"/>
      <c r="G53" s="259"/>
      <c r="H53" s="260"/>
    </row>
    <row r="54">
      <c r="A54" s="275" t="s">
        <v>123</v>
      </c>
      <c r="B54" s="276" t="s">
        <v>2332</v>
      </c>
      <c r="C54" s="282" t="s">
        <v>2333</v>
      </c>
      <c r="D54" s="280"/>
      <c r="E54" s="265" t="s">
        <v>2277</v>
      </c>
      <c r="F54" s="259"/>
      <c r="G54" s="259"/>
      <c r="H54" s="260"/>
    </row>
    <row r="55">
      <c r="A55" s="275" t="s">
        <v>139</v>
      </c>
      <c r="B55" s="276" t="s">
        <v>133</v>
      </c>
      <c r="C55" s="282" t="s">
        <v>2306</v>
      </c>
      <c r="D55" s="280" t="s">
        <v>134</v>
      </c>
      <c r="E55" s="265" t="s">
        <v>2336</v>
      </c>
      <c r="F55" s="259"/>
      <c r="G55" s="259"/>
      <c r="H55" s="260"/>
    </row>
    <row r="56">
      <c r="A56" s="275" t="s">
        <v>139</v>
      </c>
      <c r="B56" s="276" t="s">
        <v>133</v>
      </c>
      <c r="C56" s="282" t="s">
        <v>2306</v>
      </c>
      <c r="D56" s="280" t="s">
        <v>140</v>
      </c>
      <c r="E56" s="265" t="s">
        <v>2336</v>
      </c>
      <c r="F56" s="259"/>
      <c r="G56" s="259"/>
      <c r="H56" s="260"/>
    </row>
    <row r="57">
      <c r="A57" s="275" t="s">
        <v>145</v>
      </c>
      <c r="B57" s="276" t="s">
        <v>2338</v>
      </c>
      <c r="C57" s="282" t="s">
        <v>2331</v>
      </c>
      <c r="D57" s="283" t="s">
        <v>1905</v>
      </c>
      <c r="E57" s="265"/>
      <c r="F57" s="259"/>
      <c r="G57" s="259"/>
      <c r="H57" s="260"/>
    </row>
    <row r="58">
      <c r="A58" s="275" t="s">
        <v>151</v>
      </c>
      <c r="B58" s="276" t="s">
        <v>2328</v>
      </c>
      <c r="C58" s="282" t="s">
        <v>1388</v>
      </c>
      <c r="D58" s="280"/>
      <c r="E58" s="265" t="s">
        <v>2336</v>
      </c>
      <c r="F58" s="259"/>
      <c r="G58" s="259"/>
      <c r="H58" s="260"/>
    </row>
    <row r="59">
      <c r="A59" s="275" t="s">
        <v>167</v>
      </c>
      <c r="B59" s="281" t="s">
        <v>534</v>
      </c>
      <c r="C59" s="282" t="s">
        <v>2286</v>
      </c>
      <c r="D59" s="280" t="s">
        <v>169</v>
      </c>
      <c r="E59" s="265" t="s">
        <v>2339</v>
      </c>
      <c r="F59" s="259"/>
      <c r="G59" s="259"/>
      <c r="H59" s="260"/>
    </row>
    <row r="60">
      <c r="A60" s="275" t="s">
        <v>174</v>
      </c>
      <c r="B60" s="281" t="s">
        <v>1014</v>
      </c>
      <c r="C60" s="282" t="s">
        <v>2281</v>
      </c>
      <c r="D60" s="280" t="s">
        <v>176</v>
      </c>
      <c r="E60" s="265" t="s">
        <v>2336</v>
      </c>
      <c r="F60" s="259"/>
      <c r="G60" s="259"/>
      <c r="H60" s="260"/>
    </row>
    <row r="61">
      <c r="A61" s="275" t="s">
        <v>182</v>
      </c>
      <c r="B61" s="281" t="s">
        <v>1014</v>
      </c>
      <c r="C61" s="282" t="s">
        <v>2281</v>
      </c>
      <c r="D61" s="280" t="s">
        <v>184</v>
      </c>
      <c r="E61" s="265" t="s">
        <v>2336</v>
      </c>
      <c r="F61" s="259" t="s">
        <v>2340</v>
      </c>
      <c r="G61" s="259"/>
      <c r="H61" s="260"/>
    </row>
    <row r="62">
      <c r="A62" s="275" t="s">
        <v>2159</v>
      </c>
      <c r="B62" s="281" t="s">
        <v>534</v>
      </c>
      <c r="C62" s="282" t="s">
        <v>2286</v>
      </c>
      <c r="D62" s="280" t="s">
        <v>188</v>
      </c>
      <c r="E62" s="265" t="s">
        <v>2339</v>
      </c>
      <c r="F62" s="259"/>
      <c r="G62" s="259"/>
      <c r="H62" s="260"/>
    </row>
    <row r="63">
      <c r="A63" s="275" t="s">
        <v>193</v>
      </c>
      <c r="B63" s="281" t="s">
        <v>1446</v>
      </c>
      <c r="C63" s="282" t="s">
        <v>2327</v>
      </c>
      <c r="D63" s="280" t="s">
        <v>195</v>
      </c>
      <c r="E63" s="265"/>
      <c r="F63" s="259"/>
      <c r="G63" s="259"/>
      <c r="H63" s="260"/>
    </row>
    <row r="64">
      <c r="A64" s="275" t="s">
        <v>197</v>
      </c>
      <c r="B64" s="281" t="s">
        <v>1990</v>
      </c>
      <c r="C64" s="282" t="s">
        <v>2321</v>
      </c>
      <c r="D64" s="280" t="s">
        <v>199</v>
      </c>
      <c r="E64" s="265" t="s">
        <v>2277</v>
      </c>
      <c r="F64" s="259" t="s">
        <v>2341</v>
      </c>
      <c r="G64" s="259"/>
      <c r="H64" s="260"/>
    </row>
    <row r="65">
      <c r="A65" s="275" t="s">
        <v>201</v>
      </c>
      <c r="B65" s="281" t="s">
        <v>2342</v>
      </c>
      <c r="C65" s="282" t="s">
        <v>2326</v>
      </c>
      <c r="D65" s="280" t="s">
        <v>203</v>
      </c>
      <c r="E65" s="265" t="s">
        <v>2277</v>
      </c>
      <c r="F65" s="259"/>
      <c r="G65" s="259"/>
      <c r="H65" s="260"/>
    </row>
    <row r="66">
      <c r="A66" s="275" t="s">
        <v>1956</v>
      </c>
      <c r="B66" s="284" t="s">
        <v>206</v>
      </c>
      <c r="C66" s="279" t="s">
        <v>2311</v>
      </c>
      <c r="D66" s="280"/>
      <c r="E66" s="265" t="s">
        <v>2277</v>
      </c>
      <c r="F66" s="259"/>
      <c r="G66" s="259"/>
      <c r="H66" s="260"/>
    </row>
    <row r="67">
      <c r="A67" s="275" t="s">
        <v>208</v>
      </c>
      <c r="B67" s="284" t="s">
        <v>210</v>
      </c>
      <c r="C67" s="282" t="s">
        <v>2343</v>
      </c>
      <c r="D67" s="280"/>
      <c r="E67" s="265" t="s">
        <v>1447</v>
      </c>
      <c r="F67" s="259"/>
      <c r="G67" s="259"/>
      <c r="H67" s="260"/>
    </row>
    <row r="68">
      <c r="A68" s="275" t="s">
        <v>211</v>
      </c>
      <c r="B68" s="281" t="s">
        <v>1990</v>
      </c>
      <c r="C68" s="282" t="s">
        <v>2321</v>
      </c>
      <c r="D68" s="280" t="s">
        <v>2344</v>
      </c>
      <c r="E68" s="265" t="s">
        <v>2336</v>
      </c>
      <c r="F68" s="259" t="s">
        <v>2345</v>
      </c>
      <c r="G68" s="259"/>
      <c r="H68" s="260"/>
    </row>
    <row r="69">
      <c r="A69" s="275" t="s">
        <v>230</v>
      </c>
      <c r="B69" s="285" t="s">
        <v>2284</v>
      </c>
      <c r="C69" s="282" t="s">
        <v>231</v>
      </c>
      <c r="D69" s="280"/>
      <c r="E69" s="265" t="s">
        <v>2277</v>
      </c>
      <c r="F69" s="259"/>
      <c r="G69" s="259"/>
      <c r="H69" s="260"/>
    </row>
    <row r="70">
      <c r="A70" s="275" t="s">
        <v>250</v>
      </c>
      <c r="B70" s="281" t="s">
        <v>251</v>
      </c>
      <c r="C70" s="282" t="s">
        <v>400</v>
      </c>
      <c r="D70" s="280" t="s">
        <v>252</v>
      </c>
      <c r="E70" s="265" t="s">
        <v>1960</v>
      </c>
      <c r="F70" s="259"/>
      <c r="G70" s="259"/>
      <c r="H70" s="260"/>
    </row>
    <row r="71">
      <c r="A71" s="275" t="s">
        <v>262</v>
      </c>
      <c r="B71" s="281" t="s">
        <v>251</v>
      </c>
      <c r="C71" s="282" t="s">
        <v>400</v>
      </c>
      <c r="D71" s="280" t="s">
        <v>264</v>
      </c>
      <c r="E71" s="265" t="s">
        <v>1960</v>
      </c>
      <c r="F71" s="259"/>
      <c r="G71" s="259"/>
      <c r="H71" s="260"/>
    </row>
    <row r="72">
      <c r="A72" s="275" t="s">
        <v>266</v>
      </c>
      <c r="B72" s="281" t="s">
        <v>2318</v>
      </c>
      <c r="C72" s="282" t="s">
        <v>2319</v>
      </c>
      <c r="D72" s="280" t="s">
        <v>268</v>
      </c>
      <c r="E72" s="265" t="s">
        <v>2277</v>
      </c>
      <c r="F72" s="259"/>
      <c r="G72" s="259"/>
      <c r="H72" s="260"/>
    </row>
    <row r="73">
      <c r="A73" s="275" t="s">
        <v>272</v>
      </c>
      <c r="B73" s="281" t="s">
        <v>2346</v>
      </c>
      <c r="C73" s="282" t="s">
        <v>2317</v>
      </c>
      <c r="D73" s="280" t="s">
        <v>274</v>
      </c>
      <c r="E73" s="265" t="s">
        <v>1960</v>
      </c>
      <c r="F73" s="259"/>
      <c r="G73" s="259"/>
      <c r="H73" s="260"/>
    </row>
    <row r="74">
      <c r="A74" s="275" t="s">
        <v>276</v>
      </c>
      <c r="B74" s="281" t="s">
        <v>277</v>
      </c>
      <c r="C74" s="282" t="s">
        <v>2316</v>
      </c>
      <c r="D74" s="280" t="s">
        <v>2347</v>
      </c>
      <c r="E74" s="265" t="s">
        <v>1960</v>
      </c>
      <c r="F74" s="259"/>
      <c r="G74" s="259"/>
      <c r="H74" s="260"/>
    </row>
    <row r="75">
      <c r="A75" s="275" t="s">
        <v>279</v>
      </c>
      <c r="B75" s="281" t="s">
        <v>280</v>
      </c>
      <c r="C75" s="282" t="s">
        <v>2315</v>
      </c>
      <c r="D75" s="280" t="s">
        <v>281</v>
      </c>
      <c r="E75" s="265" t="s">
        <v>1960</v>
      </c>
      <c r="F75" s="259"/>
      <c r="G75" s="259"/>
      <c r="H75" s="260"/>
    </row>
    <row r="76">
      <c r="A76" s="275" t="s">
        <v>283</v>
      </c>
      <c r="B76" s="281" t="s">
        <v>2313</v>
      </c>
      <c r="C76" s="282" t="s">
        <v>2314</v>
      </c>
      <c r="D76" s="280" t="s">
        <v>285</v>
      </c>
      <c r="E76" s="265" t="s">
        <v>2277</v>
      </c>
      <c r="F76" s="259"/>
      <c r="G76" s="259"/>
      <c r="H76" s="260"/>
    </row>
    <row r="77">
      <c r="A77" s="275" t="s">
        <v>287</v>
      </c>
      <c r="B77" s="281" t="s">
        <v>659</v>
      </c>
      <c r="C77" s="279" t="s">
        <v>2300</v>
      </c>
      <c r="D77" s="280" t="s">
        <v>289</v>
      </c>
      <c r="E77" s="265" t="s">
        <v>1960</v>
      </c>
      <c r="F77" s="259"/>
      <c r="G77" s="259"/>
      <c r="H77" s="260"/>
    </row>
    <row r="78">
      <c r="A78" s="275" t="s">
        <v>290</v>
      </c>
      <c r="B78" s="281" t="s">
        <v>659</v>
      </c>
      <c r="C78" s="279" t="s">
        <v>2300</v>
      </c>
      <c r="D78" s="280" t="s">
        <v>292</v>
      </c>
      <c r="E78" s="265" t="s">
        <v>1960</v>
      </c>
      <c r="F78" s="259"/>
      <c r="G78" s="259"/>
      <c r="H78" s="260"/>
    </row>
    <row r="79">
      <c r="A79" s="275" t="s">
        <v>293</v>
      </c>
      <c r="B79" s="281" t="s">
        <v>294</v>
      </c>
      <c r="C79" s="282" t="s">
        <v>2304</v>
      </c>
      <c r="D79" s="280" t="s">
        <v>295</v>
      </c>
      <c r="E79" s="265" t="s">
        <v>2277</v>
      </c>
      <c r="F79" s="259"/>
      <c r="G79" s="259"/>
      <c r="H79" s="260"/>
    </row>
    <row r="80">
      <c r="A80" s="275" t="s">
        <v>298</v>
      </c>
      <c r="B80" s="281" t="s">
        <v>294</v>
      </c>
      <c r="C80" s="282" t="s">
        <v>2304</v>
      </c>
      <c r="D80" s="280" t="s">
        <v>300</v>
      </c>
      <c r="E80" s="265" t="s">
        <v>2277</v>
      </c>
      <c r="F80" s="259"/>
      <c r="G80" s="259"/>
      <c r="H80" s="260"/>
    </row>
    <row r="81">
      <c r="A81" s="275" t="s">
        <v>303</v>
      </c>
      <c r="B81" s="281" t="s">
        <v>294</v>
      </c>
      <c r="C81" s="282" t="s">
        <v>2304</v>
      </c>
      <c r="D81" s="280" t="s">
        <v>305</v>
      </c>
      <c r="E81" s="265" t="s">
        <v>2277</v>
      </c>
      <c r="F81" s="259"/>
      <c r="G81" s="259"/>
      <c r="H81" s="260"/>
    </row>
    <row r="82">
      <c r="A82" s="275" t="s">
        <v>310</v>
      </c>
      <c r="B82" s="281" t="s">
        <v>2348</v>
      </c>
      <c r="C82" s="279" t="s">
        <v>2300</v>
      </c>
      <c r="D82" s="280" t="s">
        <v>312</v>
      </c>
      <c r="E82" s="265" t="s">
        <v>1960</v>
      </c>
      <c r="F82" s="259"/>
      <c r="G82" s="259"/>
      <c r="H82" s="260"/>
    </row>
    <row r="83">
      <c r="A83" s="275" t="s">
        <v>321</v>
      </c>
      <c r="B83" s="281" t="s">
        <v>1854</v>
      </c>
      <c r="C83" s="282" t="s">
        <v>2310</v>
      </c>
      <c r="D83" s="280" t="s">
        <v>2349</v>
      </c>
      <c r="E83" s="265" t="s">
        <v>2277</v>
      </c>
      <c r="F83" s="259"/>
      <c r="G83" s="259"/>
      <c r="H83" s="260"/>
    </row>
    <row r="84">
      <c r="A84" s="275" t="s">
        <v>324</v>
      </c>
      <c r="B84" s="281" t="s">
        <v>325</v>
      </c>
      <c r="C84" s="282" t="s">
        <v>2309</v>
      </c>
      <c r="D84" s="280"/>
      <c r="E84" s="265" t="s">
        <v>1447</v>
      </c>
      <c r="F84" s="259"/>
      <c r="G84" s="259"/>
      <c r="H84" s="260"/>
    </row>
    <row r="85">
      <c r="A85" s="275" t="s">
        <v>365</v>
      </c>
      <c r="B85" s="281" t="s">
        <v>366</v>
      </c>
      <c r="C85" s="282" t="s">
        <v>2307</v>
      </c>
      <c r="D85" s="280" t="s">
        <v>367</v>
      </c>
      <c r="E85" s="265" t="s">
        <v>1960</v>
      </c>
      <c r="F85" s="259"/>
      <c r="G85" s="259"/>
      <c r="H85" s="260"/>
    </row>
    <row r="86">
      <c r="A86" s="275" t="s">
        <v>384</v>
      </c>
      <c r="B86" s="281" t="s">
        <v>107</v>
      </c>
      <c r="C86" s="282" t="s">
        <v>2306</v>
      </c>
      <c r="D86" s="280" t="s">
        <v>385</v>
      </c>
      <c r="E86" s="265" t="s">
        <v>2336</v>
      </c>
      <c r="F86" s="259"/>
      <c r="G86" s="259"/>
      <c r="H86" s="260"/>
    </row>
    <row r="87">
      <c r="A87" s="275" t="s">
        <v>399</v>
      </c>
      <c r="B87" s="281" t="s">
        <v>251</v>
      </c>
      <c r="C87" s="282" t="s">
        <v>400</v>
      </c>
      <c r="D87" s="280" t="s">
        <v>401</v>
      </c>
      <c r="E87" s="265" t="s">
        <v>1447</v>
      </c>
      <c r="F87" s="259"/>
      <c r="G87" s="259"/>
      <c r="H87" s="260"/>
    </row>
    <row r="88">
      <c r="A88" s="275" t="s">
        <v>427</v>
      </c>
      <c r="B88" s="281" t="s">
        <v>428</v>
      </c>
      <c r="C88" s="282" t="s">
        <v>2305</v>
      </c>
      <c r="D88" s="286" t="s">
        <v>429</v>
      </c>
      <c r="E88" s="265" t="s">
        <v>2277</v>
      </c>
      <c r="F88" s="259"/>
      <c r="G88" s="259"/>
      <c r="H88" s="260"/>
    </row>
    <row r="89">
      <c r="A89" s="275" t="s">
        <v>439</v>
      </c>
      <c r="B89" s="281" t="s">
        <v>440</v>
      </c>
      <c r="C89" s="282" t="s">
        <v>2299</v>
      </c>
      <c r="D89" s="280" t="s">
        <v>441</v>
      </c>
      <c r="E89" s="265" t="s">
        <v>2277</v>
      </c>
      <c r="F89" s="259"/>
      <c r="G89" s="259"/>
      <c r="H89" s="260"/>
    </row>
    <row r="90">
      <c r="A90" s="275" t="s">
        <v>444</v>
      </c>
      <c r="B90" s="281" t="s">
        <v>440</v>
      </c>
      <c r="C90" s="282" t="s">
        <v>2299</v>
      </c>
      <c r="D90" s="280" t="s">
        <v>445</v>
      </c>
      <c r="E90" s="265" t="s">
        <v>2277</v>
      </c>
      <c r="F90" s="259"/>
      <c r="G90" s="259"/>
      <c r="H90" s="260"/>
    </row>
    <row r="91">
      <c r="A91" s="275" t="s">
        <v>479</v>
      </c>
      <c r="B91" s="284" t="s">
        <v>1014</v>
      </c>
      <c r="C91" s="282" t="s">
        <v>2281</v>
      </c>
      <c r="D91" s="280">
        <v>12876.0</v>
      </c>
      <c r="E91" s="265" t="s">
        <v>2336</v>
      </c>
      <c r="F91" s="259"/>
      <c r="G91" s="259"/>
      <c r="H91" s="260"/>
    </row>
    <row r="92">
      <c r="A92" s="275" t="s">
        <v>482</v>
      </c>
      <c r="B92" s="284" t="s">
        <v>1014</v>
      </c>
      <c r="C92" s="282" t="s">
        <v>2281</v>
      </c>
      <c r="D92" s="280">
        <v>11268.0</v>
      </c>
      <c r="E92" s="265" t="s">
        <v>2336</v>
      </c>
      <c r="F92" s="259"/>
      <c r="G92" s="259"/>
      <c r="H92" s="260"/>
    </row>
    <row r="93">
      <c r="A93" s="275" t="s">
        <v>513</v>
      </c>
      <c r="B93" s="281" t="s">
        <v>514</v>
      </c>
      <c r="C93" s="282" t="s">
        <v>2303</v>
      </c>
      <c r="D93" s="280" t="s">
        <v>2350</v>
      </c>
      <c r="E93" s="265" t="s">
        <v>2277</v>
      </c>
      <c r="F93" s="259"/>
      <c r="G93" s="259"/>
      <c r="H93" s="260"/>
    </row>
    <row r="94">
      <c r="A94" s="275" t="s">
        <v>519</v>
      </c>
      <c r="B94" s="281" t="s">
        <v>2351</v>
      </c>
      <c r="C94" s="282" t="s">
        <v>520</v>
      </c>
      <c r="D94" s="280" t="s">
        <v>2352</v>
      </c>
      <c r="E94" s="265" t="s">
        <v>2277</v>
      </c>
      <c r="F94" s="259"/>
      <c r="G94" s="259"/>
      <c r="H94" s="260"/>
    </row>
    <row r="95">
      <c r="A95" s="275" t="s">
        <v>524</v>
      </c>
      <c r="B95" s="281" t="s">
        <v>525</v>
      </c>
      <c r="C95" s="282" t="s">
        <v>2304</v>
      </c>
      <c r="D95" s="280" t="s">
        <v>2353</v>
      </c>
      <c r="E95" s="265" t="s">
        <v>2277</v>
      </c>
      <c r="F95" s="259"/>
      <c r="G95" s="259"/>
      <c r="H95" s="260"/>
    </row>
    <row r="96">
      <c r="A96" s="275" t="s">
        <v>557</v>
      </c>
      <c r="B96" s="281" t="s">
        <v>514</v>
      </c>
      <c r="C96" s="282" t="s">
        <v>2303</v>
      </c>
      <c r="D96" s="280" t="s">
        <v>2354</v>
      </c>
      <c r="E96" s="265" t="s">
        <v>2277</v>
      </c>
      <c r="F96" s="259"/>
      <c r="G96" s="259"/>
      <c r="H96" s="260"/>
    </row>
    <row r="97">
      <c r="A97" s="275" t="s">
        <v>561</v>
      </c>
      <c r="B97" s="281" t="s">
        <v>514</v>
      </c>
      <c r="C97" s="282" t="s">
        <v>2303</v>
      </c>
      <c r="D97" s="280" t="s">
        <v>2355</v>
      </c>
      <c r="E97" s="265" t="s">
        <v>2277</v>
      </c>
      <c r="F97" s="259"/>
      <c r="G97" s="259"/>
      <c r="H97" s="260"/>
    </row>
    <row r="98">
      <c r="A98" s="275" t="s">
        <v>563</v>
      </c>
      <c r="B98" s="281" t="s">
        <v>564</v>
      </c>
      <c r="C98" s="282" t="s">
        <v>2302</v>
      </c>
      <c r="D98" s="280" t="s">
        <v>565</v>
      </c>
      <c r="E98" s="265" t="s">
        <v>1960</v>
      </c>
      <c r="F98" s="259"/>
      <c r="G98" s="259"/>
      <c r="H98" s="260"/>
    </row>
    <row r="99">
      <c r="A99" s="275" t="s">
        <v>574</v>
      </c>
      <c r="B99" s="281" t="s">
        <v>575</v>
      </c>
      <c r="C99" s="282" t="s">
        <v>2301</v>
      </c>
      <c r="D99" s="280" t="s">
        <v>576</v>
      </c>
      <c r="E99" s="265" t="s">
        <v>1960</v>
      </c>
      <c r="F99" s="259"/>
      <c r="G99" s="259"/>
      <c r="H99" s="260"/>
    </row>
    <row r="100">
      <c r="A100" s="275" t="s">
        <v>581</v>
      </c>
      <c r="B100" s="276" t="s">
        <v>239</v>
      </c>
      <c r="C100" s="282" t="s">
        <v>422</v>
      </c>
      <c r="D100" s="280" t="s">
        <v>582</v>
      </c>
      <c r="E100" s="265" t="s">
        <v>2336</v>
      </c>
      <c r="F100" s="259"/>
      <c r="G100" s="259"/>
      <c r="H100" s="260"/>
    </row>
    <row r="101">
      <c r="A101" s="275" t="s">
        <v>652</v>
      </c>
      <c r="B101" s="281" t="s">
        <v>440</v>
      </c>
      <c r="C101" s="282" t="s">
        <v>2299</v>
      </c>
      <c r="D101" s="280" t="s">
        <v>441</v>
      </c>
      <c r="E101" s="265" t="s">
        <v>2277</v>
      </c>
      <c r="F101" s="259"/>
      <c r="G101" s="259"/>
      <c r="H101" s="260"/>
    </row>
    <row r="102">
      <c r="A102" s="275" t="s">
        <v>658</v>
      </c>
      <c r="B102" s="281" t="s">
        <v>2348</v>
      </c>
      <c r="C102" s="279" t="s">
        <v>2300</v>
      </c>
      <c r="D102" s="280" t="s">
        <v>660</v>
      </c>
      <c r="E102" s="265" t="s">
        <v>1960</v>
      </c>
      <c r="F102" s="259"/>
      <c r="G102" s="259"/>
      <c r="H102" s="260"/>
    </row>
    <row r="103">
      <c r="A103" s="275" t="s">
        <v>662</v>
      </c>
      <c r="B103" s="281" t="s">
        <v>2356</v>
      </c>
      <c r="C103" s="282" t="s">
        <v>400</v>
      </c>
      <c r="D103" s="280" t="s">
        <v>663</v>
      </c>
      <c r="E103" s="265" t="s">
        <v>1960</v>
      </c>
      <c r="F103" s="259"/>
      <c r="G103" s="259"/>
      <c r="H103" s="260"/>
    </row>
    <row r="104">
      <c r="A104" s="275" t="s">
        <v>665</v>
      </c>
      <c r="B104" s="276" t="s">
        <v>653</v>
      </c>
      <c r="C104" s="282" t="s">
        <v>2299</v>
      </c>
      <c r="D104" s="280" t="s">
        <v>666</v>
      </c>
      <c r="E104" s="265" t="s">
        <v>2277</v>
      </c>
      <c r="F104" s="259"/>
      <c r="G104" s="259"/>
      <c r="H104" s="260"/>
    </row>
    <row r="105">
      <c r="A105" s="275" t="s">
        <v>716</v>
      </c>
      <c r="B105" s="276" t="s">
        <v>2296</v>
      </c>
      <c r="C105" s="282" t="s">
        <v>2297</v>
      </c>
      <c r="D105" s="280" t="s">
        <v>718</v>
      </c>
      <c r="E105" s="265" t="s">
        <v>1960</v>
      </c>
      <c r="F105" s="259"/>
      <c r="G105" s="259"/>
      <c r="H105" s="260"/>
    </row>
    <row r="106">
      <c r="A106" s="275" t="s">
        <v>743</v>
      </c>
      <c r="B106" s="281" t="s">
        <v>534</v>
      </c>
      <c r="C106" s="282" t="s">
        <v>2357</v>
      </c>
      <c r="D106" s="280" t="s">
        <v>745</v>
      </c>
      <c r="E106" s="265" t="s">
        <v>2339</v>
      </c>
      <c r="F106" s="259"/>
      <c r="G106" s="259"/>
      <c r="H106" s="260"/>
    </row>
    <row r="107">
      <c r="A107" s="275" t="s">
        <v>738</v>
      </c>
      <c r="B107" s="281" t="s">
        <v>739</v>
      </c>
      <c r="C107" s="282" t="s">
        <v>400</v>
      </c>
      <c r="D107" s="280" t="s">
        <v>740</v>
      </c>
      <c r="E107" s="265" t="s">
        <v>1960</v>
      </c>
      <c r="F107" s="259"/>
      <c r="G107" s="259"/>
      <c r="H107" s="260"/>
    </row>
    <row r="108">
      <c r="A108" s="275" t="s">
        <v>776</v>
      </c>
      <c r="B108" s="281" t="s">
        <v>1014</v>
      </c>
      <c r="C108" s="282" t="s">
        <v>2281</v>
      </c>
      <c r="D108" s="280" t="s">
        <v>777</v>
      </c>
      <c r="E108" s="265" t="s">
        <v>2336</v>
      </c>
      <c r="F108" s="259"/>
      <c r="G108" s="259"/>
      <c r="H108" s="260"/>
    </row>
    <row r="109">
      <c r="A109" s="275" t="s">
        <v>770</v>
      </c>
      <c r="B109" s="276" t="s">
        <v>771</v>
      </c>
      <c r="C109" s="282" t="s">
        <v>2292</v>
      </c>
      <c r="D109" s="280" t="s">
        <v>2358</v>
      </c>
      <c r="E109" s="265" t="s">
        <v>1960</v>
      </c>
      <c r="F109" s="259"/>
      <c r="G109" s="259"/>
      <c r="H109" s="260"/>
    </row>
    <row r="110">
      <c r="A110" s="275" t="s">
        <v>814</v>
      </c>
      <c r="B110" s="281" t="s">
        <v>2356</v>
      </c>
      <c r="C110" s="282" t="s">
        <v>400</v>
      </c>
      <c r="D110" s="280" t="s">
        <v>2359</v>
      </c>
      <c r="E110" s="265" t="s">
        <v>1960</v>
      </c>
      <c r="F110" s="259"/>
      <c r="G110" s="259"/>
      <c r="H110" s="260"/>
    </row>
    <row r="111">
      <c r="A111" s="275" t="s">
        <v>809</v>
      </c>
      <c r="B111" s="281" t="s">
        <v>2289</v>
      </c>
      <c r="C111" s="280" t="s">
        <v>2360</v>
      </c>
      <c r="D111" s="280" t="s">
        <v>811</v>
      </c>
      <c r="E111" s="265" t="s">
        <v>2277</v>
      </c>
      <c r="F111" s="259"/>
      <c r="G111" s="259"/>
      <c r="H111" s="260"/>
    </row>
    <row r="112">
      <c r="A112" s="275" t="s">
        <v>819</v>
      </c>
      <c r="B112" s="281" t="s">
        <v>2361</v>
      </c>
      <c r="C112" s="282" t="s">
        <v>2357</v>
      </c>
      <c r="D112" s="280" t="s">
        <v>2362</v>
      </c>
      <c r="E112" s="265" t="s">
        <v>2339</v>
      </c>
      <c r="F112" s="259"/>
      <c r="G112" s="259"/>
      <c r="H112" s="260"/>
    </row>
    <row r="113">
      <c r="A113" s="275" t="s">
        <v>827</v>
      </c>
      <c r="B113" s="285" t="s">
        <v>2284</v>
      </c>
      <c r="C113" s="282" t="s">
        <v>231</v>
      </c>
      <c r="D113" s="280" t="s">
        <v>2363</v>
      </c>
      <c r="E113" s="265" t="s">
        <v>2277</v>
      </c>
      <c r="F113" s="259"/>
      <c r="G113" s="259"/>
      <c r="H113" s="260"/>
    </row>
    <row r="114">
      <c r="A114" s="275" t="s">
        <v>830</v>
      </c>
      <c r="B114" s="281" t="s">
        <v>831</v>
      </c>
      <c r="C114" s="282" t="s">
        <v>2283</v>
      </c>
      <c r="D114" s="280" t="s">
        <v>2364</v>
      </c>
      <c r="E114" s="265" t="s">
        <v>2336</v>
      </c>
      <c r="F114" s="259"/>
      <c r="G114" s="259"/>
      <c r="H114" s="260"/>
    </row>
    <row r="115">
      <c r="A115" s="275" t="s">
        <v>841</v>
      </c>
      <c r="B115" s="281" t="s">
        <v>1014</v>
      </c>
      <c r="C115" s="282" t="s">
        <v>2281</v>
      </c>
      <c r="D115" s="280" t="s">
        <v>2365</v>
      </c>
      <c r="E115" s="265" t="s">
        <v>2336</v>
      </c>
      <c r="F115" s="259"/>
      <c r="G115" s="259"/>
      <c r="H115" s="260"/>
    </row>
    <row r="116">
      <c r="A116" s="275" t="s">
        <v>849</v>
      </c>
      <c r="B116" s="281" t="s">
        <v>2366</v>
      </c>
      <c r="C116" s="282" t="s">
        <v>2280</v>
      </c>
      <c r="D116" s="280" t="s">
        <v>2367</v>
      </c>
      <c r="E116" s="265" t="s">
        <v>2277</v>
      </c>
      <c r="F116" s="259"/>
      <c r="G116" s="259"/>
      <c r="H116" s="260"/>
    </row>
    <row r="117">
      <c r="A117" s="275" t="s">
        <v>856</v>
      </c>
      <c r="B117" s="276" t="s">
        <v>857</v>
      </c>
      <c r="C117" s="282" t="s">
        <v>2276</v>
      </c>
      <c r="D117" s="280" t="s">
        <v>858</v>
      </c>
      <c r="E117" s="265" t="s">
        <v>2277</v>
      </c>
      <c r="F117" s="259"/>
      <c r="G117" s="259"/>
      <c r="H117" s="260"/>
    </row>
    <row r="118">
      <c r="A118" s="275" t="s">
        <v>898</v>
      </c>
      <c r="B118" s="287" t="s">
        <v>899</v>
      </c>
      <c r="C118" s="288" t="s">
        <v>2368</v>
      </c>
      <c r="D118" s="280" t="s">
        <v>2369</v>
      </c>
      <c r="E118" s="259" t="s">
        <v>1960</v>
      </c>
      <c r="F118" s="259"/>
      <c r="G118" s="259" t="s">
        <v>696</v>
      </c>
      <c r="H118" s="260" t="s">
        <v>754</v>
      </c>
    </row>
    <row r="119">
      <c r="A119" s="275" t="s">
        <v>903</v>
      </c>
      <c r="B119" s="281" t="s">
        <v>904</v>
      </c>
      <c r="C119" s="280" t="s">
        <v>2370</v>
      </c>
      <c r="D119" s="286" t="s">
        <v>2371</v>
      </c>
      <c r="E119" s="238" t="s">
        <v>2277</v>
      </c>
      <c r="F119" s="289"/>
      <c r="G119" s="289"/>
      <c r="H119" s="289"/>
    </row>
    <row r="120">
      <c r="A120" s="275" t="s">
        <v>909</v>
      </c>
      <c r="B120" s="281" t="s">
        <v>910</v>
      </c>
      <c r="C120" s="280" t="s">
        <v>2372</v>
      </c>
      <c r="D120" s="280" t="s">
        <v>2373</v>
      </c>
      <c r="E120" s="238" t="s">
        <v>2277</v>
      </c>
      <c r="F120" s="289"/>
      <c r="G120" s="289"/>
      <c r="H120" s="289"/>
    </row>
    <row r="121">
      <c r="A121" s="289" t="s">
        <v>919</v>
      </c>
      <c r="B121" s="281" t="s">
        <v>428</v>
      </c>
      <c r="C121" s="280" t="s">
        <v>2305</v>
      </c>
      <c r="D121" s="280" t="s">
        <v>921</v>
      </c>
      <c r="E121" s="238" t="s">
        <v>2277</v>
      </c>
      <c r="F121" s="289"/>
      <c r="G121" s="289"/>
      <c r="H121" s="289"/>
    </row>
    <row r="122">
      <c r="A122" s="289" t="s">
        <v>923</v>
      </c>
      <c r="B122" s="281" t="s">
        <v>924</v>
      </c>
      <c r="C122" s="280" t="s">
        <v>2305</v>
      </c>
      <c r="D122" s="280" t="s">
        <v>925</v>
      </c>
      <c r="E122" s="238" t="s">
        <v>2277</v>
      </c>
      <c r="F122" s="289"/>
      <c r="G122" s="289"/>
      <c r="H122" s="289"/>
    </row>
    <row r="123">
      <c r="A123" s="289" t="s">
        <v>926</v>
      </c>
      <c r="B123" s="281" t="s">
        <v>927</v>
      </c>
      <c r="C123" s="280" t="s">
        <v>2273</v>
      </c>
      <c r="D123" s="280"/>
      <c r="E123" s="238"/>
      <c r="F123" s="289"/>
      <c r="G123" s="289"/>
      <c r="H123" s="289"/>
    </row>
    <row r="124">
      <c r="A124" s="289" t="s">
        <v>945</v>
      </c>
      <c r="B124" s="281" t="s">
        <v>2374</v>
      </c>
      <c r="C124" s="280" t="s">
        <v>946</v>
      </c>
      <c r="D124" s="280" t="s">
        <v>2375</v>
      </c>
      <c r="E124" s="238" t="s">
        <v>2277</v>
      </c>
      <c r="F124" s="289"/>
      <c r="G124" s="289"/>
      <c r="H124" s="289"/>
    </row>
    <row r="125">
      <c r="A125" s="289" t="s">
        <v>968</v>
      </c>
      <c r="B125" s="281" t="s">
        <v>969</v>
      </c>
      <c r="C125" s="282" t="s">
        <v>2306</v>
      </c>
      <c r="D125" s="280" t="s">
        <v>970</v>
      </c>
      <c r="E125" s="238" t="s">
        <v>2336</v>
      </c>
      <c r="F125" s="289"/>
      <c r="G125" s="289"/>
      <c r="H125" s="289"/>
    </row>
    <row r="126">
      <c r="A126" s="289" t="s">
        <v>975</v>
      </c>
      <c r="B126" s="290" t="s">
        <v>2376</v>
      </c>
      <c r="C126" s="280" t="s">
        <v>2370</v>
      </c>
      <c r="D126" s="280" t="s">
        <v>2377</v>
      </c>
      <c r="E126" s="238" t="s">
        <v>2277</v>
      </c>
      <c r="F126" s="289"/>
      <c r="G126" s="289"/>
      <c r="H126" s="289"/>
    </row>
    <row r="127">
      <c r="A127" s="289" t="s">
        <v>1006</v>
      </c>
      <c r="B127" s="281" t="s">
        <v>1007</v>
      </c>
      <c r="C127" s="280" t="s">
        <v>2378</v>
      </c>
      <c r="D127" s="280" t="s">
        <v>2379</v>
      </c>
      <c r="E127" s="238" t="s">
        <v>2336</v>
      </c>
      <c r="F127" s="289"/>
      <c r="G127" s="289"/>
      <c r="H127" s="289"/>
    </row>
    <row r="128">
      <c r="A128" s="289" t="s">
        <v>1010</v>
      </c>
      <c r="B128" s="281" t="s">
        <v>514</v>
      </c>
      <c r="C128" s="280" t="s">
        <v>2303</v>
      </c>
      <c r="D128" s="280" t="s">
        <v>2354</v>
      </c>
      <c r="E128" s="238" t="s">
        <v>1960</v>
      </c>
      <c r="F128" s="289"/>
      <c r="G128" s="289"/>
      <c r="H128" s="289"/>
    </row>
    <row r="129">
      <c r="A129" s="289" t="s">
        <v>1013</v>
      </c>
      <c r="B129" s="281" t="s">
        <v>1014</v>
      </c>
      <c r="C129" s="282" t="s">
        <v>2281</v>
      </c>
      <c r="D129" s="280" t="s">
        <v>1015</v>
      </c>
      <c r="E129" s="238" t="s">
        <v>2336</v>
      </c>
      <c r="F129" s="289"/>
      <c r="G129" s="289"/>
      <c r="H129" s="289"/>
    </row>
    <row r="130">
      <c r="A130" s="289" t="s">
        <v>1042</v>
      </c>
      <c r="B130" s="281" t="s">
        <v>1043</v>
      </c>
      <c r="C130" s="280" t="s">
        <v>2305</v>
      </c>
      <c r="D130" s="280" t="s">
        <v>2380</v>
      </c>
      <c r="E130" s="238" t="s">
        <v>2277</v>
      </c>
      <c r="F130" s="289"/>
      <c r="G130" s="289"/>
      <c r="H130" s="289"/>
    </row>
    <row r="131">
      <c r="A131" s="289" t="s">
        <v>1048</v>
      </c>
      <c r="B131" s="281" t="s">
        <v>1049</v>
      </c>
      <c r="C131" s="282" t="s">
        <v>2281</v>
      </c>
      <c r="D131" s="280" t="s">
        <v>1050</v>
      </c>
      <c r="E131" s="238" t="s">
        <v>2339</v>
      </c>
      <c r="F131" s="289"/>
      <c r="G131" s="289"/>
      <c r="H131" s="289"/>
    </row>
    <row r="132">
      <c r="A132" s="289" t="s">
        <v>1053</v>
      </c>
      <c r="B132" s="281" t="s">
        <v>1049</v>
      </c>
      <c r="C132" s="282" t="s">
        <v>2281</v>
      </c>
      <c r="D132" s="280" t="s">
        <v>1054</v>
      </c>
      <c r="E132" s="238" t="s">
        <v>2339</v>
      </c>
      <c r="F132" s="289"/>
      <c r="G132" s="289"/>
      <c r="H132" s="289"/>
    </row>
    <row r="133">
      <c r="A133" s="289" t="s">
        <v>1055</v>
      </c>
      <c r="B133" s="281" t="s">
        <v>1056</v>
      </c>
      <c r="C133" s="280" t="s">
        <v>422</v>
      </c>
      <c r="D133" s="280" t="s">
        <v>582</v>
      </c>
      <c r="E133" s="238" t="s">
        <v>2336</v>
      </c>
      <c r="F133" s="289"/>
      <c r="G133" s="289"/>
      <c r="H133" s="289"/>
    </row>
    <row r="134">
      <c r="A134" s="289" t="s">
        <v>1062</v>
      </c>
      <c r="B134" s="281" t="s">
        <v>514</v>
      </c>
      <c r="C134" s="281" t="s">
        <v>1063</v>
      </c>
      <c r="D134" s="280" t="s">
        <v>2381</v>
      </c>
      <c r="E134" s="238" t="s">
        <v>1960</v>
      </c>
      <c r="F134" s="289"/>
      <c r="G134" s="289"/>
      <c r="H134" s="289"/>
    </row>
    <row r="135">
      <c r="A135" s="289" t="s">
        <v>1078</v>
      </c>
      <c r="B135" s="281" t="s">
        <v>2382</v>
      </c>
      <c r="C135" s="280" t="s">
        <v>2383</v>
      </c>
      <c r="D135" s="280" t="s">
        <v>2384</v>
      </c>
      <c r="E135" s="238" t="s">
        <v>1960</v>
      </c>
      <c r="F135" s="289"/>
      <c r="G135" s="289"/>
      <c r="H135" s="289"/>
    </row>
    <row r="136">
      <c r="A136" s="289" t="s">
        <v>1088</v>
      </c>
      <c r="B136" s="276" t="s">
        <v>2328</v>
      </c>
      <c r="C136" s="282" t="s">
        <v>1388</v>
      </c>
      <c r="D136" s="280" t="s">
        <v>1090</v>
      </c>
      <c r="E136" s="238" t="s">
        <v>2336</v>
      </c>
      <c r="F136" s="289"/>
      <c r="G136" s="289"/>
      <c r="H136" s="289"/>
    </row>
    <row r="137">
      <c r="A137" s="289" t="s">
        <v>1093</v>
      </c>
      <c r="B137" s="281" t="s">
        <v>1094</v>
      </c>
      <c r="C137" s="282" t="s">
        <v>2357</v>
      </c>
      <c r="D137" s="280" t="s">
        <v>1095</v>
      </c>
      <c r="E137" s="238" t="s">
        <v>2339</v>
      </c>
      <c r="F137" s="289"/>
      <c r="G137" s="289"/>
      <c r="H137" s="289"/>
    </row>
    <row r="138">
      <c r="A138" s="289" t="s">
        <v>1097</v>
      </c>
      <c r="B138" s="281" t="s">
        <v>1094</v>
      </c>
      <c r="C138" s="282" t="s">
        <v>2357</v>
      </c>
      <c r="D138" s="280" t="s">
        <v>1098</v>
      </c>
      <c r="E138" s="238" t="s">
        <v>2339</v>
      </c>
      <c r="F138" s="289"/>
      <c r="G138" s="289"/>
      <c r="H138" s="289"/>
    </row>
    <row r="139">
      <c r="A139" s="289" t="s">
        <v>1100</v>
      </c>
      <c r="B139" s="281" t="s">
        <v>1101</v>
      </c>
      <c r="C139" s="279" t="s">
        <v>2300</v>
      </c>
      <c r="D139" s="280" t="s">
        <v>2385</v>
      </c>
      <c r="E139" s="238" t="s">
        <v>1960</v>
      </c>
      <c r="F139" s="289"/>
      <c r="G139" s="289"/>
      <c r="H139" s="289"/>
    </row>
    <row r="140">
      <c r="A140" s="289" t="s">
        <v>1115</v>
      </c>
      <c r="B140" s="281" t="s">
        <v>1116</v>
      </c>
      <c r="C140" s="280" t="s">
        <v>2386</v>
      </c>
      <c r="D140" s="280" t="s">
        <v>2387</v>
      </c>
      <c r="E140" s="238" t="s">
        <v>2277</v>
      </c>
      <c r="F140" s="289"/>
      <c r="G140" s="289"/>
      <c r="H140" s="289"/>
    </row>
    <row r="141">
      <c r="A141" s="289" t="s">
        <v>1120</v>
      </c>
      <c r="B141" s="281" t="s">
        <v>748</v>
      </c>
      <c r="C141" s="280" t="s">
        <v>2388</v>
      </c>
      <c r="D141" s="280" t="s">
        <v>2389</v>
      </c>
      <c r="E141" s="238" t="s">
        <v>2336</v>
      </c>
      <c r="F141" s="289"/>
      <c r="G141" s="289"/>
      <c r="H141" s="289"/>
    </row>
    <row r="142">
      <c r="A142" s="289" t="s">
        <v>1124</v>
      </c>
      <c r="B142" s="281" t="s">
        <v>1125</v>
      </c>
      <c r="C142" s="280" t="s">
        <v>2390</v>
      </c>
      <c r="D142" s="280" t="s">
        <v>2391</v>
      </c>
      <c r="E142" s="238" t="s">
        <v>2277</v>
      </c>
      <c r="F142" s="289"/>
      <c r="G142" s="289"/>
      <c r="H142" s="289"/>
    </row>
    <row r="143">
      <c r="A143" s="291" t="s">
        <v>1131</v>
      </c>
      <c r="B143" s="292" t="s">
        <v>2328</v>
      </c>
      <c r="C143" s="293" t="s">
        <v>1388</v>
      </c>
      <c r="D143" s="294"/>
      <c r="E143" s="295" t="s">
        <v>2336</v>
      </c>
      <c r="F143" s="289" t="s">
        <v>383</v>
      </c>
      <c r="G143" s="289"/>
      <c r="H143" s="289"/>
    </row>
    <row r="144">
      <c r="A144" s="289" t="s">
        <v>1141</v>
      </c>
      <c r="B144" s="281" t="s">
        <v>1142</v>
      </c>
      <c r="C144" s="280" t="s">
        <v>2306</v>
      </c>
      <c r="D144" s="280" t="s">
        <v>2392</v>
      </c>
      <c r="E144" s="238" t="s">
        <v>2336</v>
      </c>
      <c r="F144" s="289"/>
      <c r="G144" s="289"/>
      <c r="H144" s="289"/>
    </row>
    <row r="145">
      <c r="A145" s="289" t="s">
        <v>1146</v>
      </c>
      <c r="B145" s="281" t="s">
        <v>1147</v>
      </c>
      <c r="C145" s="280" t="s">
        <v>2393</v>
      </c>
      <c r="D145" s="280" t="s">
        <v>2394</v>
      </c>
      <c r="E145" s="238" t="s">
        <v>1960</v>
      </c>
      <c r="F145" s="289"/>
      <c r="G145" s="289"/>
      <c r="H145" s="289"/>
    </row>
    <row r="146">
      <c r="A146" s="289" t="s">
        <v>1161</v>
      </c>
      <c r="B146" s="281" t="s">
        <v>1162</v>
      </c>
      <c r="C146" s="280" t="s">
        <v>2386</v>
      </c>
      <c r="D146" s="280" t="s">
        <v>2395</v>
      </c>
      <c r="E146" s="238" t="s">
        <v>2277</v>
      </c>
      <c r="F146" s="289"/>
      <c r="G146" s="289"/>
      <c r="H146" s="289"/>
    </row>
    <row r="147">
      <c r="A147" s="289" t="s">
        <v>1164</v>
      </c>
      <c r="B147" s="281" t="s">
        <v>1165</v>
      </c>
      <c r="C147" s="280" t="s">
        <v>2396</v>
      </c>
      <c r="D147" s="280" t="s">
        <v>2397</v>
      </c>
      <c r="E147" s="238" t="s">
        <v>1960</v>
      </c>
      <c r="F147" s="289"/>
      <c r="G147" s="289"/>
      <c r="H147" s="289"/>
    </row>
    <row r="148">
      <c r="A148" s="289" t="s">
        <v>1167</v>
      </c>
      <c r="B148" s="281" t="s">
        <v>1168</v>
      </c>
      <c r="C148" s="280" t="s">
        <v>2398</v>
      </c>
      <c r="D148" s="280" t="s">
        <v>2399</v>
      </c>
      <c r="E148" s="238" t="s">
        <v>2277</v>
      </c>
      <c r="F148" s="289"/>
      <c r="G148" s="289"/>
      <c r="H148" s="289"/>
    </row>
    <row r="149">
      <c r="A149" s="289" t="s">
        <v>1171</v>
      </c>
      <c r="B149" s="281" t="s">
        <v>831</v>
      </c>
      <c r="C149" s="282" t="s">
        <v>2283</v>
      </c>
      <c r="D149" s="280" t="s">
        <v>2400</v>
      </c>
      <c r="E149" s="238" t="s">
        <v>2336</v>
      </c>
      <c r="F149" s="289"/>
      <c r="G149" s="289"/>
      <c r="H149" s="289"/>
    </row>
    <row r="150">
      <c r="A150" s="289" t="s">
        <v>1175</v>
      </c>
      <c r="B150" s="281" t="s">
        <v>831</v>
      </c>
      <c r="C150" s="282" t="s">
        <v>2283</v>
      </c>
      <c r="D150" s="280" t="s">
        <v>2401</v>
      </c>
      <c r="E150" s="238" t="s">
        <v>2336</v>
      </c>
      <c r="F150" s="289"/>
      <c r="G150" s="289"/>
      <c r="H150" s="289"/>
    </row>
    <row r="151">
      <c r="A151" s="289" t="s">
        <v>1178</v>
      </c>
      <c r="B151" s="281" t="s">
        <v>2402</v>
      </c>
      <c r="C151" s="280" t="s">
        <v>2403</v>
      </c>
      <c r="D151" s="280" t="s">
        <v>2404</v>
      </c>
      <c r="E151" s="238" t="s">
        <v>1960</v>
      </c>
      <c r="F151" s="289"/>
      <c r="G151" s="289"/>
      <c r="H151" s="289"/>
    </row>
    <row r="152">
      <c r="A152" s="289" t="s">
        <v>1184</v>
      </c>
      <c r="B152" s="281" t="s">
        <v>1185</v>
      </c>
      <c r="C152" s="280" t="s">
        <v>2405</v>
      </c>
      <c r="D152" s="280" t="s">
        <v>2406</v>
      </c>
      <c r="E152" s="238" t="s">
        <v>2336</v>
      </c>
      <c r="F152" s="289"/>
      <c r="G152" s="289"/>
      <c r="H152" s="289"/>
    </row>
    <row r="153">
      <c r="A153" s="289" t="s">
        <v>1199</v>
      </c>
      <c r="B153" s="281" t="s">
        <v>1200</v>
      </c>
      <c r="C153" s="280" t="s">
        <v>2407</v>
      </c>
      <c r="D153" s="280" t="s">
        <v>2408</v>
      </c>
      <c r="E153" s="238" t="s">
        <v>1960</v>
      </c>
      <c r="F153" s="289"/>
      <c r="G153" s="289"/>
      <c r="H153" s="289"/>
    </row>
    <row r="154">
      <c r="A154" s="289" t="s">
        <v>1206</v>
      </c>
      <c r="B154" s="281" t="s">
        <v>1207</v>
      </c>
      <c r="C154" s="280" t="s">
        <v>2409</v>
      </c>
      <c r="D154" s="280" t="s">
        <v>2410</v>
      </c>
      <c r="E154" s="238" t="s">
        <v>1960</v>
      </c>
      <c r="F154" s="289"/>
      <c r="G154" s="289"/>
      <c r="H154" s="289"/>
    </row>
    <row r="155">
      <c r="A155" s="289" t="s">
        <v>1209</v>
      </c>
      <c r="B155" s="281" t="s">
        <v>672</v>
      </c>
      <c r="C155" s="280" t="s">
        <v>2411</v>
      </c>
      <c r="D155" s="280" t="s">
        <v>2412</v>
      </c>
      <c r="E155" s="238" t="s">
        <v>2336</v>
      </c>
      <c r="F155" s="289"/>
      <c r="G155" s="289"/>
      <c r="H155" s="289"/>
    </row>
    <row r="156">
      <c r="A156" s="289" t="s">
        <v>1211</v>
      </c>
      <c r="B156" s="281" t="s">
        <v>1212</v>
      </c>
      <c r="C156" s="280" t="s">
        <v>2413</v>
      </c>
      <c r="D156" s="280" t="s">
        <v>2414</v>
      </c>
      <c r="E156" s="238"/>
      <c r="F156" s="289"/>
      <c r="G156" s="289"/>
      <c r="H156" s="289"/>
    </row>
    <row r="157">
      <c r="A157" s="289" t="s">
        <v>1220</v>
      </c>
      <c r="B157" s="281" t="s">
        <v>2415</v>
      </c>
      <c r="C157" s="280"/>
      <c r="D157" s="280" t="s">
        <v>2416</v>
      </c>
      <c r="E157" s="238" t="s">
        <v>1960</v>
      </c>
      <c r="F157" s="289"/>
      <c r="G157" s="289"/>
      <c r="H157" s="289"/>
    </row>
    <row r="158">
      <c r="A158" s="289" t="s">
        <v>1223</v>
      </c>
      <c r="B158" s="281" t="s">
        <v>1224</v>
      </c>
      <c r="C158" s="280" t="s">
        <v>2417</v>
      </c>
      <c r="D158" s="280" t="s">
        <v>2418</v>
      </c>
      <c r="E158" s="238" t="s">
        <v>1960</v>
      </c>
      <c r="F158" s="289"/>
      <c r="G158" s="289"/>
      <c r="H158" s="289"/>
    </row>
    <row r="159">
      <c r="A159" s="289" t="s">
        <v>1226</v>
      </c>
      <c r="B159" s="296" t="s">
        <v>1224</v>
      </c>
      <c r="C159" s="280" t="s">
        <v>2417</v>
      </c>
      <c r="D159" s="280" t="s">
        <v>2419</v>
      </c>
      <c r="E159" s="238" t="s">
        <v>1960</v>
      </c>
      <c r="F159" s="289"/>
      <c r="G159" s="289"/>
      <c r="H159" s="289"/>
    </row>
    <row r="160">
      <c r="A160" s="289" t="s">
        <v>1228</v>
      </c>
      <c r="B160" s="276" t="s">
        <v>2338</v>
      </c>
      <c r="C160" s="282" t="s">
        <v>2331</v>
      </c>
      <c r="D160" s="280" t="s">
        <v>2420</v>
      </c>
      <c r="E160" s="238" t="s">
        <v>1960</v>
      </c>
      <c r="F160" s="289"/>
      <c r="G160" s="289"/>
      <c r="H160" s="289"/>
    </row>
    <row r="161">
      <c r="A161" s="289" t="s">
        <v>1231</v>
      </c>
      <c r="B161" s="296" t="s">
        <v>1232</v>
      </c>
      <c r="C161" s="280" t="s">
        <v>2421</v>
      </c>
      <c r="D161" s="280" t="s">
        <v>1233</v>
      </c>
      <c r="E161" s="238" t="s">
        <v>1960</v>
      </c>
      <c r="F161" s="289"/>
      <c r="G161" s="289"/>
      <c r="H161" s="289"/>
    </row>
    <row r="162">
      <c r="A162" s="289" t="s">
        <v>1235</v>
      </c>
      <c r="B162" s="296" t="s">
        <v>1236</v>
      </c>
      <c r="C162" s="280" t="s">
        <v>2422</v>
      </c>
      <c r="D162" s="280" t="s">
        <v>1237</v>
      </c>
      <c r="E162" s="238" t="s">
        <v>1960</v>
      </c>
      <c r="F162" s="289"/>
      <c r="G162" s="289"/>
      <c r="H162" s="289"/>
    </row>
    <row r="163">
      <c r="A163" s="289" t="s">
        <v>1239</v>
      </c>
      <c r="B163" s="296" t="s">
        <v>1240</v>
      </c>
      <c r="C163" s="280" t="s">
        <v>520</v>
      </c>
      <c r="D163" s="280" t="s">
        <v>2423</v>
      </c>
      <c r="E163" s="238" t="s">
        <v>2277</v>
      </c>
      <c r="F163" s="289"/>
      <c r="G163" s="289"/>
      <c r="H163" s="289"/>
    </row>
    <row r="164">
      <c r="A164" s="297" t="s">
        <v>1255</v>
      </c>
      <c r="B164" s="296" t="s">
        <v>1256</v>
      </c>
      <c r="C164" s="298" t="s">
        <v>2424</v>
      </c>
      <c r="D164" s="299" t="s">
        <v>1257</v>
      </c>
      <c r="E164" s="238" t="s">
        <v>2277</v>
      </c>
      <c r="F164" s="289"/>
      <c r="G164" s="289"/>
      <c r="H164" s="289"/>
    </row>
    <row r="165">
      <c r="A165" s="297" t="s">
        <v>1246</v>
      </c>
      <c r="B165" s="300" t="s">
        <v>1247</v>
      </c>
      <c r="C165" s="298" t="s">
        <v>1247</v>
      </c>
      <c r="D165" s="289" t="s">
        <v>1248</v>
      </c>
      <c r="E165" s="238" t="s">
        <v>2277</v>
      </c>
      <c r="F165" s="289"/>
      <c r="G165" s="289"/>
      <c r="H165" s="289"/>
    </row>
    <row r="166">
      <c r="A166" s="3"/>
      <c r="B166" s="3"/>
    </row>
    <row r="167">
      <c r="A167" s="301"/>
      <c r="B167" s="302"/>
      <c r="C167" s="303"/>
    </row>
    <row r="168">
      <c r="A168" s="3"/>
      <c r="B168" s="3"/>
    </row>
  </sheetData>
  <mergeCells count="1">
    <mergeCell ref="B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29"/>
    <col customWidth="1" min="3" max="3" width="22.71"/>
    <col customWidth="1" min="5" max="5" width="22.43"/>
    <col customWidth="1" min="8" max="8" width="27.43"/>
    <col customWidth="1" min="9" max="9" width="22.29"/>
    <col customWidth="1" min="11" max="11" width="30.29"/>
    <col customWidth="1" min="14" max="14" width="31.14"/>
    <col customWidth="1" min="15" max="15" width="21.57"/>
    <col customWidth="1" min="18" max="18" width="17.14"/>
  </cols>
  <sheetData>
    <row r="1">
      <c r="A1" s="304" t="s">
        <v>158</v>
      </c>
    </row>
    <row r="2">
      <c r="A2" s="305" t="s">
        <v>2425</v>
      </c>
      <c r="B2" s="306"/>
      <c r="C2" s="255"/>
      <c r="D2" s="307" t="s">
        <v>2426</v>
      </c>
      <c r="E2" s="306"/>
      <c r="F2" s="255"/>
      <c r="G2" s="308"/>
      <c r="H2" s="309" t="s">
        <v>2427</v>
      </c>
      <c r="I2" s="255"/>
      <c r="J2" s="310"/>
      <c r="K2" s="311" t="s">
        <v>2428</v>
      </c>
      <c r="L2" s="255"/>
      <c r="M2" s="312" t="s">
        <v>2429</v>
      </c>
      <c r="N2" s="306"/>
      <c r="O2" s="255"/>
      <c r="P2" s="312" t="s">
        <v>2430</v>
      </c>
      <c r="Q2" s="306"/>
      <c r="R2" s="255"/>
    </row>
    <row r="3">
      <c r="A3" s="313" t="s">
        <v>2431</v>
      </c>
      <c r="B3" s="313" t="s">
        <v>2432</v>
      </c>
      <c r="C3" s="313" t="s">
        <v>2433</v>
      </c>
      <c r="D3" s="313" t="s">
        <v>2431</v>
      </c>
      <c r="E3" s="314" t="s">
        <v>2432</v>
      </c>
      <c r="F3" s="314" t="s">
        <v>2433</v>
      </c>
      <c r="G3" s="314" t="s">
        <v>2431</v>
      </c>
      <c r="H3" s="314" t="s">
        <v>2432</v>
      </c>
      <c r="I3" s="314" t="s">
        <v>2433</v>
      </c>
      <c r="J3" s="314" t="s">
        <v>2431</v>
      </c>
      <c r="K3" s="314" t="s">
        <v>2432</v>
      </c>
      <c r="L3" s="314" t="s">
        <v>2433</v>
      </c>
      <c r="M3" s="313" t="s">
        <v>2431</v>
      </c>
      <c r="N3" s="314" t="s">
        <v>2432</v>
      </c>
      <c r="O3" s="314" t="s">
        <v>2433</v>
      </c>
      <c r="P3" s="314" t="s">
        <v>2431</v>
      </c>
      <c r="Q3" s="314" t="s">
        <v>2432</v>
      </c>
      <c r="R3" s="314" t="s">
        <v>2433</v>
      </c>
    </row>
    <row r="4">
      <c r="A4" s="315" t="s">
        <v>71</v>
      </c>
      <c r="B4" s="316" t="s">
        <v>2434</v>
      </c>
      <c r="C4" s="317" t="s">
        <v>2435</v>
      </c>
      <c r="D4" s="315" t="s">
        <v>174</v>
      </c>
      <c r="E4" s="316" t="s">
        <v>480</v>
      </c>
      <c r="F4" s="317" t="s">
        <v>2436</v>
      </c>
      <c r="G4" s="318" t="s">
        <v>197</v>
      </c>
      <c r="H4" s="281" t="s">
        <v>198</v>
      </c>
      <c r="I4" s="238" t="s">
        <v>2437</v>
      </c>
      <c r="J4" s="319" t="s">
        <v>131</v>
      </c>
      <c r="K4" s="320" t="s">
        <v>2438</v>
      </c>
      <c r="L4" s="321" t="s">
        <v>2435</v>
      </c>
      <c r="M4" s="315" t="s">
        <v>465</v>
      </c>
      <c r="N4" s="322" t="s">
        <v>466</v>
      </c>
      <c r="O4" s="317" t="s">
        <v>2435</v>
      </c>
      <c r="P4" s="323" t="s">
        <v>384</v>
      </c>
      <c r="Q4" s="324" t="s">
        <v>2306</v>
      </c>
      <c r="R4" s="325" t="s">
        <v>2439</v>
      </c>
    </row>
    <row r="5">
      <c r="A5" s="315" t="s">
        <v>115</v>
      </c>
      <c r="B5" s="326" t="s">
        <v>2328</v>
      </c>
      <c r="C5" s="317" t="s">
        <v>2435</v>
      </c>
      <c r="D5" s="315" t="s">
        <v>427</v>
      </c>
      <c r="E5" s="316" t="s">
        <v>2434</v>
      </c>
      <c r="F5" s="317" t="s">
        <v>2436</v>
      </c>
      <c r="G5" s="327" t="s">
        <v>561</v>
      </c>
      <c r="H5" s="328" t="s">
        <v>2440</v>
      </c>
      <c r="I5" s="295" t="s">
        <v>2437</v>
      </c>
      <c r="J5" s="315" t="s">
        <v>439</v>
      </c>
      <c r="K5" s="329" t="s">
        <v>2441</v>
      </c>
      <c r="L5" s="321" t="s">
        <v>2435</v>
      </c>
      <c r="M5" s="315" t="s">
        <v>503</v>
      </c>
      <c r="N5" s="322" t="s">
        <v>504</v>
      </c>
      <c r="O5" s="317" t="s">
        <v>2435</v>
      </c>
      <c r="P5" s="323" t="s">
        <v>795</v>
      </c>
      <c r="Q5" s="324" t="s">
        <v>2259</v>
      </c>
      <c r="R5" s="325" t="s">
        <v>2439</v>
      </c>
    </row>
    <row r="6">
      <c r="A6" s="315" t="s">
        <v>151</v>
      </c>
      <c r="B6" s="326" t="s">
        <v>2328</v>
      </c>
      <c r="C6" s="317" t="s">
        <v>2435</v>
      </c>
      <c r="D6" s="315" t="s">
        <v>2442</v>
      </c>
      <c r="E6" s="330" t="s">
        <v>927</v>
      </c>
      <c r="F6" s="317" t="s">
        <v>2443</v>
      </c>
      <c r="G6" s="331" t="s">
        <v>764</v>
      </c>
      <c r="H6" s="332" t="s">
        <v>765</v>
      </c>
      <c r="I6" s="333" t="s">
        <v>2437</v>
      </c>
      <c r="J6" s="334" t="s">
        <v>37</v>
      </c>
      <c r="K6" s="335" t="s">
        <v>2324</v>
      </c>
      <c r="L6" s="336" t="s">
        <v>2444</v>
      </c>
      <c r="M6" s="315" t="s">
        <v>557</v>
      </c>
      <c r="N6" s="330" t="s">
        <v>2440</v>
      </c>
      <c r="O6" s="317" t="s">
        <v>2435</v>
      </c>
      <c r="P6" s="337" t="s">
        <v>791</v>
      </c>
      <c r="Q6" s="338" t="s">
        <v>2445</v>
      </c>
      <c r="R6" s="339" t="s">
        <v>2446</v>
      </c>
      <c r="T6" s="340" t="s">
        <v>2275</v>
      </c>
    </row>
    <row r="7">
      <c r="A7" s="315" t="s">
        <v>197</v>
      </c>
      <c r="B7" s="322" t="s">
        <v>198</v>
      </c>
      <c r="C7" s="317" t="s">
        <v>2437</v>
      </c>
      <c r="D7" s="341" t="s">
        <v>503</v>
      </c>
      <c r="E7" s="342" t="s">
        <v>504</v>
      </c>
      <c r="F7" s="343" t="s">
        <v>2447</v>
      </c>
      <c r="G7" s="318" t="s">
        <v>793</v>
      </c>
      <c r="H7" s="344" t="s">
        <v>2440</v>
      </c>
      <c r="I7" s="238" t="s">
        <v>2437</v>
      </c>
      <c r="J7" s="345" t="s">
        <v>197</v>
      </c>
      <c r="K7" s="346" t="s">
        <v>198</v>
      </c>
      <c r="L7" s="347" t="s">
        <v>2437</v>
      </c>
      <c r="M7" s="315" t="s">
        <v>652</v>
      </c>
      <c r="N7" s="316" t="s">
        <v>440</v>
      </c>
      <c r="O7" s="317" t="s">
        <v>2435</v>
      </c>
      <c r="P7" s="323" t="s">
        <v>830</v>
      </c>
      <c r="Q7" s="348" t="s">
        <v>2448</v>
      </c>
      <c r="R7" s="325" t="s">
        <v>2439</v>
      </c>
      <c r="T7" s="349" t="s">
        <v>2449</v>
      </c>
    </row>
    <row r="8">
      <c r="A8" s="315" t="s">
        <v>211</v>
      </c>
      <c r="B8" s="322" t="s">
        <v>198</v>
      </c>
      <c r="C8" s="321" t="s">
        <v>2435</v>
      </c>
      <c r="D8" s="341" t="s">
        <v>780</v>
      </c>
      <c r="E8" s="342" t="s">
        <v>2450</v>
      </c>
      <c r="F8" s="350" t="s">
        <v>2447</v>
      </c>
      <c r="G8" s="318"/>
      <c r="H8" s="351"/>
      <c r="I8" s="238"/>
      <c r="J8" s="318" t="s">
        <v>211</v>
      </c>
      <c r="K8" s="281" t="s">
        <v>198</v>
      </c>
      <c r="L8" s="238" t="s">
        <v>516</v>
      </c>
      <c r="M8" s="315" t="s">
        <v>665</v>
      </c>
      <c r="N8" s="316" t="s">
        <v>440</v>
      </c>
      <c r="O8" s="317" t="s">
        <v>2435</v>
      </c>
      <c r="P8" s="289"/>
      <c r="Q8" s="289"/>
      <c r="R8" s="289"/>
      <c r="T8" s="352" t="s">
        <v>2443</v>
      </c>
    </row>
    <row r="9">
      <c r="A9" s="315" t="s">
        <v>427</v>
      </c>
      <c r="B9" s="316" t="s">
        <v>2434</v>
      </c>
      <c r="C9" s="317" t="s">
        <v>2451</v>
      </c>
      <c r="D9" s="341" t="s">
        <v>830</v>
      </c>
      <c r="E9" s="353" t="s">
        <v>831</v>
      </c>
      <c r="F9" s="350" t="s">
        <v>2452</v>
      </c>
      <c r="G9" s="331" t="s">
        <v>529</v>
      </c>
      <c r="H9" s="354" t="s">
        <v>530</v>
      </c>
      <c r="I9" s="333" t="s">
        <v>2453</v>
      </c>
      <c r="J9" s="355" t="s">
        <v>250</v>
      </c>
      <c r="K9" s="338" t="s">
        <v>251</v>
      </c>
      <c r="L9" s="339" t="s">
        <v>516</v>
      </c>
      <c r="M9" s="315" t="s">
        <v>780</v>
      </c>
      <c r="N9" s="322" t="s">
        <v>2450</v>
      </c>
      <c r="O9" s="317" t="s">
        <v>2435</v>
      </c>
      <c r="P9" s="289"/>
      <c r="Q9" s="289"/>
      <c r="R9" s="289"/>
    </row>
    <row r="10">
      <c r="A10" s="356" t="s">
        <v>439</v>
      </c>
      <c r="B10" s="357" t="s">
        <v>440</v>
      </c>
      <c r="C10" s="358" t="s">
        <v>2454</v>
      </c>
      <c r="D10" s="318" t="s">
        <v>1956</v>
      </c>
      <c r="E10" s="351" t="s">
        <v>206</v>
      </c>
      <c r="F10" s="238" t="s">
        <v>2455</v>
      </c>
      <c r="G10" s="318" t="s">
        <v>193</v>
      </c>
      <c r="H10" s="300" t="s">
        <v>194</v>
      </c>
      <c r="I10" s="238" t="s">
        <v>2456</v>
      </c>
      <c r="J10" s="334" t="s">
        <v>298</v>
      </c>
      <c r="K10" s="359" t="s">
        <v>294</v>
      </c>
      <c r="L10" s="336" t="s">
        <v>2457</v>
      </c>
      <c r="M10" s="315" t="s">
        <v>795</v>
      </c>
      <c r="N10" s="322" t="s">
        <v>2458</v>
      </c>
      <c r="O10" s="317" t="s">
        <v>2435</v>
      </c>
      <c r="P10" s="289"/>
      <c r="Q10" s="289"/>
      <c r="R10" s="289"/>
    </row>
    <row r="11">
      <c r="A11" s="356" t="s">
        <v>444</v>
      </c>
      <c r="B11" s="357" t="s">
        <v>440</v>
      </c>
      <c r="C11" s="358" t="s">
        <v>2454</v>
      </c>
      <c r="D11" s="318" t="s">
        <v>716</v>
      </c>
      <c r="E11" s="360" t="s">
        <v>2459</v>
      </c>
      <c r="F11" s="238" t="s">
        <v>2455</v>
      </c>
      <c r="G11" s="331" t="s">
        <v>197</v>
      </c>
      <c r="H11" s="361" t="s">
        <v>198</v>
      </c>
      <c r="I11" s="333" t="s">
        <v>1027</v>
      </c>
      <c r="J11" s="334" t="s">
        <v>455</v>
      </c>
      <c r="K11" s="359" t="s">
        <v>456</v>
      </c>
      <c r="L11" s="362" t="s">
        <v>2460</v>
      </c>
      <c r="M11" s="315" t="s">
        <v>836</v>
      </c>
      <c r="N11" s="316" t="s">
        <v>2461</v>
      </c>
      <c r="O11" s="317" t="s">
        <v>2435</v>
      </c>
      <c r="P11" s="289"/>
      <c r="Q11" s="289"/>
      <c r="R11" s="289"/>
    </row>
    <row r="12">
      <c r="A12" s="315" t="s">
        <v>465</v>
      </c>
      <c r="B12" s="363" t="s">
        <v>466</v>
      </c>
      <c r="C12" s="321" t="s">
        <v>2435</v>
      </c>
      <c r="D12" s="318"/>
      <c r="E12" s="351"/>
      <c r="F12" s="238"/>
      <c r="G12" s="318" t="s">
        <v>201</v>
      </c>
      <c r="H12" s="300" t="s">
        <v>202</v>
      </c>
      <c r="I12" s="238"/>
      <c r="J12" s="318" t="s">
        <v>461</v>
      </c>
      <c r="K12" s="300" t="s">
        <v>462</v>
      </c>
      <c r="L12" s="238" t="s">
        <v>516</v>
      </c>
      <c r="M12" s="364" t="s">
        <v>856</v>
      </c>
      <c r="N12" s="324" t="s">
        <v>2462</v>
      </c>
      <c r="O12" s="325" t="s">
        <v>2427</v>
      </c>
      <c r="P12" s="289"/>
      <c r="Q12" s="289"/>
      <c r="R12" s="289"/>
    </row>
    <row r="13">
      <c r="A13" s="315" t="s">
        <v>503</v>
      </c>
      <c r="B13" s="322" t="s">
        <v>504</v>
      </c>
      <c r="C13" s="321" t="s">
        <v>2435</v>
      </c>
      <c r="D13" s="289"/>
      <c r="E13" s="289"/>
      <c r="F13" s="289"/>
      <c r="G13" s="345" t="s">
        <v>1956</v>
      </c>
      <c r="H13" s="365" t="s">
        <v>206</v>
      </c>
      <c r="I13" s="347" t="s">
        <v>2463</v>
      </c>
      <c r="J13" s="341" t="s">
        <v>557</v>
      </c>
      <c r="K13" s="366" t="s">
        <v>514</v>
      </c>
      <c r="L13" s="350" t="s">
        <v>2460</v>
      </c>
      <c r="M13" s="364" t="s">
        <v>809</v>
      </c>
      <c r="N13" s="348" t="s">
        <v>810</v>
      </c>
      <c r="O13" s="325" t="s">
        <v>2464</v>
      </c>
      <c r="P13" s="289"/>
      <c r="Q13" s="289"/>
      <c r="R13" s="289"/>
    </row>
    <row r="14">
      <c r="A14" s="315" t="s">
        <v>557</v>
      </c>
      <c r="B14" s="367" t="s">
        <v>2440</v>
      </c>
      <c r="C14" s="321" t="s">
        <v>2435</v>
      </c>
      <c r="D14" s="289"/>
      <c r="E14" s="289"/>
      <c r="F14" s="289"/>
      <c r="G14" s="318" t="s">
        <v>208</v>
      </c>
      <c r="H14" s="300" t="s">
        <v>210</v>
      </c>
      <c r="I14" s="238"/>
      <c r="J14" s="315" t="s">
        <v>513</v>
      </c>
      <c r="K14" s="368" t="s">
        <v>514</v>
      </c>
      <c r="L14" s="321" t="s">
        <v>2435</v>
      </c>
      <c r="M14" s="315" t="s">
        <v>830</v>
      </c>
      <c r="N14" s="316" t="s">
        <v>831</v>
      </c>
      <c r="O14" s="317" t="s">
        <v>2435</v>
      </c>
      <c r="P14" s="289"/>
      <c r="Q14" s="289"/>
      <c r="R14" s="289"/>
    </row>
    <row r="15">
      <c r="A15" s="318" t="s">
        <v>561</v>
      </c>
      <c r="B15" s="344" t="s">
        <v>2440</v>
      </c>
      <c r="C15" s="238" t="s">
        <v>2437</v>
      </c>
      <c r="D15" s="289"/>
      <c r="E15" s="289"/>
      <c r="F15" s="289"/>
      <c r="G15" s="331" t="s">
        <v>247</v>
      </c>
      <c r="H15" s="361" t="s">
        <v>1859</v>
      </c>
      <c r="I15" s="333"/>
      <c r="J15" s="315" t="s">
        <v>830</v>
      </c>
      <c r="K15" s="316" t="s">
        <v>831</v>
      </c>
      <c r="L15" s="321" t="s">
        <v>2435</v>
      </c>
      <c r="M15" s="341" t="s">
        <v>513</v>
      </c>
      <c r="N15" s="366" t="s">
        <v>514</v>
      </c>
      <c r="O15" s="350" t="s">
        <v>2465</v>
      </c>
      <c r="P15" s="289"/>
      <c r="Q15" s="289"/>
      <c r="R15" s="289"/>
    </row>
    <row r="16">
      <c r="A16" s="315" t="s">
        <v>652</v>
      </c>
      <c r="B16" s="326" t="s">
        <v>440</v>
      </c>
      <c r="C16" s="317" t="s">
        <v>2435</v>
      </c>
      <c r="D16" s="289"/>
      <c r="E16" s="289"/>
      <c r="F16" s="289"/>
      <c r="G16" s="318" t="s">
        <v>272</v>
      </c>
      <c r="H16" s="300" t="s">
        <v>273</v>
      </c>
      <c r="I16" s="238"/>
      <c r="J16" s="364" t="s">
        <v>809</v>
      </c>
      <c r="K16" s="348" t="s">
        <v>810</v>
      </c>
      <c r="L16" s="325"/>
      <c r="M16" s="318" t="s">
        <v>903</v>
      </c>
      <c r="N16" s="281" t="s">
        <v>904</v>
      </c>
      <c r="O16" s="238" t="s">
        <v>516</v>
      </c>
      <c r="P16" s="289"/>
      <c r="Q16" s="289"/>
      <c r="R16" s="289"/>
    </row>
    <row r="17">
      <c r="A17" s="315" t="s">
        <v>665</v>
      </c>
      <c r="B17" s="326" t="s">
        <v>440</v>
      </c>
      <c r="C17" s="317" t="s">
        <v>2435</v>
      </c>
      <c r="D17" s="289"/>
      <c r="E17" s="289"/>
      <c r="F17" s="289"/>
      <c r="G17" s="318" t="s">
        <v>276</v>
      </c>
      <c r="H17" s="300" t="s">
        <v>277</v>
      </c>
      <c r="I17" s="238"/>
      <c r="J17" s="315" t="s">
        <v>819</v>
      </c>
      <c r="K17" s="368" t="s">
        <v>1356</v>
      </c>
      <c r="L17" s="321" t="s">
        <v>2435</v>
      </c>
      <c r="M17" s="341" t="s">
        <v>919</v>
      </c>
      <c r="N17" s="353" t="s">
        <v>2434</v>
      </c>
      <c r="O17" s="350" t="s">
        <v>2465</v>
      </c>
      <c r="P17" s="289"/>
      <c r="Q17" s="289"/>
      <c r="R17" s="289"/>
    </row>
    <row r="18">
      <c r="A18" s="318" t="s">
        <v>764</v>
      </c>
      <c r="B18" s="369" t="s">
        <v>765</v>
      </c>
      <c r="C18" s="238" t="s">
        <v>2437</v>
      </c>
      <c r="D18" s="289"/>
      <c r="E18" s="289"/>
      <c r="F18" s="289"/>
      <c r="G18" s="331" t="s">
        <v>279</v>
      </c>
      <c r="H18" s="361" t="s">
        <v>280</v>
      </c>
      <c r="I18" s="333"/>
      <c r="J18" s="334" t="s">
        <v>827</v>
      </c>
      <c r="K18" s="370" t="s">
        <v>2284</v>
      </c>
      <c r="L18" s="362" t="s">
        <v>2460</v>
      </c>
      <c r="M18" s="318" t="s">
        <v>923</v>
      </c>
      <c r="N18" s="351" t="s">
        <v>2434</v>
      </c>
      <c r="O18" s="238" t="s">
        <v>2466</v>
      </c>
      <c r="P18" s="289"/>
      <c r="Q18" s="289"/>
      <c r="R18" s="289"/>
    </row>
    <row r="19">
      <c r="A19" s="315" t="s">
        <v>780</v>
      </c>
      <c r="B19" s="322" t="s">
        <v>2450</v>
      </c>
      <c r="C19" s="321" t="s">
        <v>2451</v>
      </c>
      <c r="D19" s="289"/>
      <c r="E19" s="289"/>
      <c r="F19" s="289"/>
      <c r="G19" s="318" t="s">
        <v>287</v>
      </c>
      <c r="H19" s="300" t="s">
        <v>1557</v>
      </c>
      <c r="I19" s="238"/>
      <c r="J19" s="315" t="s">
        <v>836</v>
      </c>
      <c r="K19" s="316" t="s">
        <v>2461</v>
      </c>
      <c r="L19" s="321" t="s">
        <v>2435</v>
      </c>
      <c r="M19" s="341" t="s">
        <v>937</v>
      </c>
      <c r="N19" s="371" t="s">
        <v>2328</v>
      </c>
      <c r="O19" s="350" t="s">
        <v>2467</v>
      </c>
      <c r="P19" s="289"/>
      <c r="Q19" s="289"/>
      <c r="R19" s="289"/>
    </row>
    <row r="20">
      <c r="A20" s="318" t="s">
        <v>793</v>
      </c>
      <c r="B20" s="344" t="s">
        <v>2440</v>
      </c>
      <c r="C20" s="238" t="s">
        <v>2437</v>
      </c>
      <c r="D20" s="289"/>
      <c r="E20" s="289"/>
      <c r="F20" s="289"/>
      <c r="G20" s="318" t="s">
        <v>290</v>
      </c>
      <c r="H20" s="300" t="s">
        <v>1557</v>
      </c>
      <c r="I20" s="238"/>
      <c r="J20" s="315" t="s">
        <v>841</v>
      </c>
      <c r="K20" s="316" t="s">
        <v>480</v>
      </c>
      <c r="L20" s="321" t="s">
        <v>2435</v>
      </c>
      <c r="M20" s="341" t="s">
        <v>939</v>
      </c>
      <c r="N20" s="371" t="s">
        <v>2328</v>
      </c>
      <c r="O20" s="350" t="s">
        <v>2468</v>
      </c>
      <c r="P20" s="289"/>
      <c r="Q20" s="289"/>
      <c r="R20" s="289"/>
    </row>
    <row r="21">
      <c r="A21" s="315" t="s">
        <v>795</v>
      </c>
      <c r="B21" s="322" t="s">
        <v>2458</v>
      </c>
      <c r="C21" s="321" t="s">
        <v>2435</v>
      </c>
      <c r="D21" s="289"/>
      <c r="E21" s="289"/>
      <c r="F21" s="289"/>
      <c r="G21" s="318" t="s">
        <v>293</v>
      </c>
      <c r="H21" s="300" t="s">
        <v>294</v>
      </c>
      <c r="I21" s="289"/>
      <c r="J21" s="355" t="s">
        <v>863</v>
      </c>
      <c r="K21" s="372" t="s">
        <v>864</v>
      </c>
      <c r="L21" s="238" t="s">
        <v>2469</v>
      </c>
      <c r="M21" s="341" t="s">
        <v>941</v>
      </c>
      <c r="N21" s="371" t="s">
        <v>2328</v>
      </c>
      <c r="O21" s="350" t="s">
        <v>2470</v>
      </c>
      <c r="P21" s="289"/>
      <c r="Q21" s="289"/>
      <c r="R21" s="289"/>
    </row>
    <row r="22">
      <c r="A22" s="364" t="s">
        <v>809</v>
      </c>
      <c r="B22" s="373" t="s">
        <v>2289</v>
      </c>
      <c r="C22" s="325" t="s">
        <v>2427</v>
      </c>
      <c r="D22" s="289"/>
      <c r="E22" s="289"/>
      <c r="F22" s="289"/>
      <c r="G22" s="318" t="s">
        <v>310</v>
      </c>
      <c r="H22" s="300" t="s">
        <v>1557</v>
      </c>
      <c r="I22" s="289"/>
      <c r="J22" s="315" t="s">
        <v>871</v>
      </c>
      <c r="K22" s="368" t="s">
        <v>864</v>
      </c>
      <c r="L22" s="321" t="s">
        <v>2435</v>
      </c>
      <c r="M22" s="341" t="s">
        <v>943</v>
      </c>
      <c r="N22" s="371" t="s">
        <v>2328</v>
      </c>
      <c r="O22" s="350" t="s">
        <v>2471</v>
      </c>
      <c r="P22" s="289"/>
      <c r="Q22" s="289"/>
      <c r="R22" s="289"/>
    </row>
    <row r="23">
      <c r="A23" s="315" t="s">
        <v>836</v>
      </c>
      <c r="B23" s="316" t="s">
        <v>2461</v>
      </c>
      <c r="C23" s="321" t="s">
        <v>2435</v>
      </c>
      <c r="D23" s="289"/>
      <c r="E23" s="289"/>
      <c r="F23" s="289"/>
      <c r="G23" s="318" t="s">
        <v>321</v>
      </c>
      <c r="H23" s="300" t="s">
        <v>322</v>
      </c>
      <c r="I23" s="289"/>
      <c r="J23" s="341" t="s">
        <v>856</v>
      </c>
      <c r="K23" s="342" t="s">
        <v>2462</v>
      </c>
      <c r="L23" s="350" t="s">
        <v>2460</v>
      </c>
      <c r="M23" s="341" t="s">
        <v>898</v>
      </c>
      <c r="N23" s="366" t="s">
        <v>899</v>
      </c>
      <c r="O23" s="350" t="s">
        <v>2465</v>
      </c>
      <c r="P23" s="289"/>
      <c r="Q23" s="289"/>
      <c r="R23" s="289"/>
    </row>
    <row r="24">
      <c r="A24" s="364" t="s">
        <v>856</v>
      </c>
      <c r="B24" s="324" t="s">
        <v>2472</v>
      </c>
      <c r="C24" s="325" t="s">
        <v>2427</v>
      </c>
      <c r="D24" s="289"/>
      <c r="E24" s="289"/>
      <c r="F24" s="289"/>
      <c r="G24" s="318" t="s">
        <v>404</v>
      </c>
      <c r="H24" s="300" t="s">
        <v>405</v>
      </c>
      <c r="I24" s="289"/>
      <c r="J24" s="315" t="s">
        <v>846</v>
      </c>
      <c r="K24" s="368" t="s">
        <v>2473</v>
      </c>
      <c r="L24" s="321" t="s">
        <v>2435</v>
      </c>
      <c r="M24" s="318" t="s">
        <v>757</v>
      </c>
      <c r="N24" s="300" t="s">
        <v>758</v>
      </c>
      <c r="O24" s="242" t="s">
        <v>2474</v>
      </c>
      <c r="P24" s="289"/>
      <c r="Q24" s="289"/>
      <c r="R24" s="289"/>
    </row>
    <row r="25">
      <c r="A25" s="318" t="s">
        <v>903</v>
      </c>
      <c r="B25" s="281" t="s">
        <v>904</v>
      </c>
      <c r="C25" s="238" t="s">
        <v>516</v>
      </c>
      <c r="D25" s="289"/>
      <c r="E25" s="289"/>
      <c r="F25" s="289"/>
      <c r="G25" s="318" t="s">
        <v>408</v>
      </c>
      <c r="H25" s="300" t="s">
        <v>405</v>
      </c>
      <c r="I25" s="289"/>
      <c r="J25" s="318" t="s">
        <v>891</v>
      </c>
      <c r="K25" s="374" t="s">
        <v>544</v>
      </c>
      <c r="L25" s="238" t="s">
        <v>2469</v>
      </c>
      <c r="M25" s="375" t="s">
        <v>1317</v>
      </c>
      <c r="N25" s="376" t="s">
        <v>994</v>
      </c>
      <c r="O25" s="317" t="s">
        <v>2435</v>
      </c>
      <c r="P25" s="289"/>
      <c r="Q25" s="289"/>
      <c r="R25" s="289"/>
    </row>
    <row r="26">
      <c r="A26" s="318" t="s">
        <v>513</v>
      </c>
      <c r="B26" s="300" t="s">
        <v>514</v>
      </c>
      <c r="C26" s="238" t="s">
        <v>2465</v>
      </c>
      <c r="D26" s="289"/>
      <c r="E26" s="289"/>
      <c r="F26" s="289"/>
      <c r="G26" s="318" t="s">
        <v>436</v>
      </c>
      <c r="H26" s="300" t="s">
        <v>437</v>
      </c>
      <c r="I26" s="289"/>
      <c r="J26" s="315" t="s">
        <v>898</v>
      </c>
      <c r="K26" s="368" t="s">
        <v>899</v>
      </c>
      <c r="L26" s="321" t="s">
        <v>2435</v>
      </c>
      <c r="M26" s="289"/>
      <c r="N26" s="289"/>
      <c r="O26" s="289"/>
      <c r="P26" s="289"/>
      <c r="Q26" s="289"/>
      <c r="R26" s="289"/>
    </row>
    <row r="27">
      <c r="A27" s="318" t="s">
        <v>919</v>
      </c>
      <c r="B27" s="351" t="s">
        <v>2434</v>
      </c>
      <c r="C27" s="238" t="s">
        <v>516</v>
      </c>
      <c r="D27" s="289"/>
      <c r="E27" s="289"/>
      <c r="F27" s="289"/>
      <c r="G27" s="318" t="s">
        <v>489</v>
      </c>
      <c r="H27" s="351" t="s">
        <v>480</v>
      </c>
      <c r="I27" s="289"/>
      <c r="J27" s="318" t="s">
        <v>903</v>
      </c>
      <c r="K27" s="374" t="s">
        <v>904</v>
      </c>
      <c r="L27" s="238" t="s">
        <v>2475</v>
      </c>
      <c r="M27" s="289"/>
      <c r="N27" s="289"/>
      <c r="O27" s="289"/>
      <c r="P27" s="289"/>
      <c r="Q27" s="289"/>
      <c r="R27" s="289"/>
    </row>
    <row r="28">
      <c r="A28" s="318" t="s">
        <v>923</v>
      </c>
      <c r="B28" s="351" t="s">
        <v>2434</v>
      </c>
      <c r="C28" s="238" t="s">
        <v>516</v>
      </c>
      <c r="D28" s="289"/>
      <c r="E28" s="289"/>
      <c r="F28" s="289"/>
      <c r="G28" s="318" t="s">
        <v>482</v>
      </c>
      <c r="H28" s="300" t="s">
        <v>405</v>
      </c>
      <c r="I28" s="289"/>
      <c r="J28" s="334" t="s">
        <v>747</v>
      </c>
      <c r="K28" s="359" t="s">
        <v>748</v>
      </c>
      <c r="L28" s="362" t="s">
        <v>2427</v>
      </c>
      <c r="M28" s="289"/>
      <c r="N28" s="289"/>
      <c r="O28" s="289"/>
      <c r="P28" s="289"/>
      <c r="Q28" s="289"/>
      <c r="R28" s="289"/>
    </row>
    <row r="29">
      <c r="A29" s="318" t="s">
        <v>937</v>
      </c>
      <c r="B29" s="360" t="s">
        <v>2328</v>
      </c>
      <c r="C29" s="238" t="s">
        <v>516</v>
      </c>
      <c r="D29" s="289"/>
      <c r="E29" s="289"/>
      <c r="F29" s="289"/>
      <c r="G29" s="318" t="s">
        <v>489</v>
      </c>
      <c r="H29" s="300" t="s">
        <v>493</v>
      </c>
      <c r="I29" s="289"/>
      <c r="J29" s="377" t="s">
        <v>914</v>
      </c>
      <c r="K29" s="378" t="s">
        <v>2476</v>
      </c>
      <c r="L29" s="379" t="s">
        <v>248</v>
      </c>
      <c r="M29" s="289"/>
      <c r="N29" s="289"/>
      <c r="O29" s="289"/>
      <c r="P29" s="289"/>
      <c r="Q29" s="289"/>
      <c r="R29" s="289"/>
    </row>
    <row r="30">
      <c r="A30" s="318" t="s">
        <v>939</v>
      </c>
      <c r="B30" s="360" t="s">
        <v>2328</v>
      </c>
      <c r="C30" s="238" t="s">
        <v>516</v>
      </c>
      <c r="D30" s="289"/>
      <c r="E30" s="289"/>
      <c r="F30" s="289"/>
      <c r="G30" s="318" t="s">
        <v>496</v>
      </c>
      <c r="H30" s="300" t="s">
        <v>497</v>
      </c>
      <c r="I30" s="289"/>
      <c r="J30" s="334" t="s">
        <v>937</v>
      </c>
      <c r="K30" s="359" t="s">
        <v>930</v>
      </c>
      <c r="L30" s="362" t="s">
        <v>2460</v>
      </c>
      <c r="M30" s="289"/>
      <c r="N30" s="289"/>
      <c r="O30" s="289"/>
      <c r="P30" s="289"/>
      <c r="Q30" s="289"/>
      <c r="R30" s="289"/>
    </row>
    <row r="31">
      <c r="A31" s="318" t="s">
        <v>941</v>
      </c>
      <c r="B31" s="360" t="s">
        <v>2328</v>
      </c>
      <c r="C31" s="238" t="s">
        <v>516</v>
      </c>
      <c r="D31" s="289"/>
      <c r="E31" s="289"/>
      <c r="F31" s="289"/>
      <c r="G31" s="318" t="s">
        <v>499</v>
      </c>
      <c r="H31" s="300" t="s">
        <v>2477</v>
      </c>
      <c r="I31" s="289"/>
      <c r="J31" s="334" t="s">
        <v>939</v>
      </c>
      <c r="K31" s="359" t="s">
        <v>930</v>
      </c>
      <c r="L31" s="362" t="s">
        <v>2460</v>
      </c>
      <c r="M31" s="289"/>
      <c r="N31" s="289"/>
      <c r="O31" s="289"/>
      <c r="P31" s="289"/>
      <c r="Q31" s="289"/>
      <c r="R31" s="289"/>
    </row>
    <row r="32">
      <c r="A32" s="318" t="s">
        <v>943</v>
      </c>
      <c r="B32" s="360" t="s">
        <v>2328</v>
      </c>
      <c r="C32" s="238" t="s">
        <v>516</v>
      </c>
      <c r="D32" s="289"/>
      <c r="E32" s="289"/>
      <c r="F32" s="289"/>
      <c r="G32" s="318" t="s">
        <v>519</v>
      </c>
      <c r="H32" s="300" t="s">
        <v>520</v>
      </c>
      <c r="I32" s="238" t="s">
        <v>2456</v>
      </c>
      <c r="J32" s="334" t="s">
        <v>941</v>
      </c>
      <c r="K32" s="359" t="s">
        <v>930</v>
      </c>
      <c r="L32" s="362" t="s">
        <v>2460</v>
      </c>
      <c r="M32" s="289"/>
      <c r="N32" s="289"/>
      <c r="O32" s="289"/>
      <c r="P32" s="289"/>
      <c r="Q32" s="289"/>
      <c r="R32" s="289"/>
    </row>
    <row r="33">
      <c r="A33" s="318" t="s">
        <v>757</v>
      </c>
      <c r="B33" s="300" t="s">
        <v>758</v>
      </c>
      <c r="C33" s="242" t="s">
        <v>1201</v>
      </c>
      <c r="D33" s="289"/>
      <c r="E33" s="289"/>
      <c r="F33" s="289"/>
      <c r="G33" s="318" t="s">
        <v>533</v>
      </c>
      <c r="H33" s="300" t="s">
        <v>1356</v>
      </c>
      <c r="I33" s="238"/>
      <c r="J33" s="334" t="s">
        <v>943</v>
      </c>
      <c r="K33" s="359" t="s">
        <v>930</v>
      </c>
      <c r="L33" s="362" t="s">
        <v>2460</v>
      </c>
      <c r="M33" s="289"/>
      <c r="N33" s="289"/>
      <c r="O33" s="289"/>
      <c r="P33" s="289"/>
      <c r="Q33" s="289"/>
      <c r="R33" s="289"/>
    </row>
    <row r="34">
      <c r="A34" s="375" t="s">
        <v>1317</v>
      </c>
      <c r="B34" s="376" t="s">
        <v>994</v>
      </c>
      <c r="C34" s="321" t="s">
        <v>2478</v>
      </c>
      <c r="D34" s="289"/>
      <c r="E34" s="289"/>
      <c r="F34" s="289"/>
      <c r="G34" s="331" t="s">
        <v>536</v>
      </c>
      <c r="H34" s="361" t="s">
        <v>787</v>
      </c>
      <c r="I34" s="333"/>
      <c r="J34" s="315" t="s">
        <v>952</v>
      </c>
      <c r="K34" s="368" t="s">
        <v>953</v>
      </c>
      <c r="L34" s="321" t="s">
        <v>2435</v>
      </c>
      <c r="M34" s="289"/>
      <c r="N34" s="289"/>
      <c r="O34" s="289"/>
      <c r="P34" s="289"/>
      <c r="Q34" s="289"/>
      <c r="R34" s="289"/>
    </row>
    <row r="35">
      <c r="A35" s="380" t="s">
        <v>1387</v>
      </c>
      <c r="B35" s="360" t="s">
        <v>2328</v>
      </c>
      <c r="C35" s="242" t="s">
        <v>2479</v>
      </c>
      <c r="D35" s="289"/>
      <c r="E35" s="289"/>
      <c r="F35" s="289"/>
      <c r="G35" s="318" t="s">
        <v>538</v>
      </c>
      <c r="H35" s="300" t="s">
        <v>539</v>
      </c>
      <c r="I35" s="289"/>
      <c r="J35" s="289"/>
      <c r="K35" s="289"/>
      <c r="L35" s="289"/>
      <c r="M35" s="289"/>
      <c r="N35" s="289"/>
      <c r="O35" s="289"/>
      <c r="P35" s="289"/>
      <c r="Q35" s="289"/>
      <c r="R35" s="289"/>
    </row>
    <row r="36">
      <c r="A36" s="380" t="s">
        <v>1088</v>
      </c>
      <c r="B36" s="360" t="s">
        <v>2328</v>
      </c>
      <c r="C36" s="242" t="s">
        <v>2479</v>
      </c>
      <c r="D36" s="289"/>
      <c r="E36" s="289"/>
      <c r="F36" s="289"/>
      <c r="G36" s="318" t="s">
        <v>543</v>
      </c>
      <c r="H36" s="300" t="s">
        <v>544</v>
      </c>
      <c r="I36" s="289"/>
      <c r="J36" s="289"/>
      <c r="K36" s="289"/>
      <c r="L36" s="289"/>
      <c r="M36" s="289"/>
      <c r="N36" s="289"/>
      <c r="O36" s="289"/>
      <c r="P36" s="289"/>
      <c r="Q36" s="289"/>
      <c r="R36" s="289"/>
    </row>
    <row r="37">
      <c r="A37" s="242" t="s">
        <v>1431</v>
      </c>
      <c r="B37" s="381" t="s">
        <v>2480</v>
      </c>
      <c r="C37" s="242" t="s">
        <v>2479</v>
      </c>
      <c r="D37" s="289"/>
      <c r="E37" s="289"/>
      <c r="F37" s="289"/>
      <c r="G37" s="345" t="s">
        <v>561</v>
      </c>
      <c r="H37" s="365" t="s">
        <v>514</v>
      </c>
      <c r="I37" s="382"/>
      <c r="J37" s="289"/>
      <c r="K37" s="289"/>
      <c r="L37" s="289"/>
      <c r="M37" s="289"/>
      <c r="N37" s="289"/>
      <c r="O37" s="289"/>
      <c r="P37" s="289"/>
      <c r="Q37" s="289"/>
      <c r="R37" s="289"/>
    </row>
    <row r="38">
      <c r="A38" s="289"/>
      <c r="B38" s="289"/>
      <c r="C38" s="289"/>
      <c r="D38" s="289"/>
      <c r="E38" s="289"/>
      <c r="F38" s="289"/>
      <c r="G38" s="318" t="s">
        <v>568</v>
      </c>
      <c r="H38" s="300" t="s">
        <v>89</v>
      </c>
      <c r="I38" s="289"/>
      <c r="J38" s="289"/>
      <c r="K38" s="289"/>
      <c r="L38" s="289"/>
      <c r="M38" s="289"/>
      <c r="N38" s="289"/>
      <c r="O38" s="289"/>
      <c r="P38" s="289"/>
      <c r="Q38" s="289"/>
      <c r="R38" s="289"/>
    </row>
    <row r="39">
      <c r="A39" s="289"/>
      <c r="B39" s="289"/>
      <c r="C39" s="289"/>
      <c r="D39" s="289"/>
      <c r="E39" s="289"/>
      <c r="F39" s="289"/>
      <c r="G39" s="318" t="s">
        <v>571</v>
      </c>
      <c r="H39" s="300" t="s">
        <v>572</v>
      </c>
      <c r="I39" s="289"/>
      <c r="J39" s="289"/>
      <c r="K39" s="289"/>
      <c r="L39" s="289"/>
      <c r="M39" s="289"/>
      <c r="N39" s="289"/>
      <c r="O39" s="289"/>
      <c r="P39" s="289"/>
      <c r="Q39" s="289"/>
      <c r="R39" s="289"/>
    </row>
    <row r="40">
      <c r="A40" s="289"/>
      <c r="B40" s="289"/>
      <c r="C40" s="289"/>
      <c r="D40" s="289"/>
      <c r="E40" s="289"/>
      <c r="F40" s="289"/>
      <c r="G40" s="318" t="s">
        <v>574</v>
      </c>
      <c r="H40" s="300" t="s">
        <v>575</v>
      </c>
      <c r="I40" s="289"/>
      <c r="J40" s="289"/>
      <c r="K40" s="289"/>
      <c r="L40" s="289"/>
      <c r="M40" s="289"/>
      <c r="N40" s="289"/>
      <c r="O40" s="289"/>
      <c r="P40" s="289"/>
      <c r="Q40" s="289"/>
      <c r="R40" s="289"/>
    </row>
    <row r="41">
      <c r="A41" s="289"/>
      <c r="B41" s="289"/>
      <c r="C41" s="289"/>
      <c r="D41" s="289"/>
      <c r="E41" s="289"/>
      <c r="F41" s="289"/>
      <c r="G41" s="318" t="s">
        <v>587</v>
      </c>
      <c r="H41" s="300" t="s">
        <v>588</v>
      </c>
      <c r="I41" s="289"/>
      <c r="J41" s="289"/>
      <c r="K41" s="289"/>
      <c r="L41" s="289"/>
      <c r="M41" s="289"/>
      <c r="N41" s="289"/>
      <c r="O41" s="289"/>
      <c r="P41" s="289"/>
      <c r="Q41" s="289"/>
      <c r="R41" s="289"/>
    </row>
    <row r="42">
      <c r="A42" s="289"/>
      <c r="B42" s="289"/>
      <c r="C42" s="289"/>
      <c r="D42" s="289"/>
      <c r="E42" s="289"/>
      <c r="F42" s="289"/>
      <c r="G42" s="318" t="s">
        <v>592</v>
      </c>
      <c r="H42" s="300" t="s">
        <v>593</v>
      </c>
      <c r="I42" s="289"/>
      <c r="J42" s="289"/>
      <c r="K42" s="289"/>
      <c r="L42" s="289"/>
      <c r="M42" s="289"/>
      <c r="N42" s="289"/>
      <c r="O42" s="289"/>
      <c r="P42" s="289"/>
      <c r="Q42" s="289"/>
      <c r="R42" s="289"/>
    </row>
    <row r="43">
      <c r="A43" s="289"/>
      <c r="B43" s="289"/>
      <c r="C43" s="289"/>
      <c r="D43" s="289"/>
      <c r="E43" s="289"/>
      <c r="F43" s="289"/>
      <c r="G43" s="318" t="s">
        <v>597</v>
      </c>
      <c r="H43" s="300" t="s">
        <v>598</v>
      </c>
      <c r="I43" s="289"/>
      <c r="J43" s="289"/>
      <c r="K43" s="289"/>
      <c r="L43" s="289"/>
      <c r="M43" s="289"/>
      <c r="N43" s="289"/>
      <c r="O43" s="289"/>
      <c r="P43" s="289"/>
      <c r="Q43" s="289"/>
      <c r="R43" s="289"/>
    </row>
    <row r="44">
      <c r="A44" s="289"/>
      <c r="B44" s="289"/>
      <c r="C44" s="289"/>
      <c r="D44" s="289"/>
      <c r="E44" s="289"/>
      <c r="F44" s="289"/>
      <c r="G44" s="318" t="s">
        <v>601</v>
      </c>
      <c r="H44" s="300" t="s">
        <v>602</v>
      </c>
      <c r="I44" s="238" t="s">
        <v>2463</v>
      </c>
      <c r="J44" s="289"/>
      <c r="K44" s="289"/>
      <c r="L44" s="289"/>
      <c r="M44" s="289"/>
      <c r="N44" s="289"/>
      <c r="O44" s="289"/>
      <c r="P44" s="289"/>
      <c r="Q44" s="289"/>
      <c r="R44" s="289"/>
    </row>
    <row r="45">
      <c r="A45" s="289"/>
      <c r="B45" s="289"/>
      <c r="C45" s="289"/>
      <c r="D45" s="289"/>
      <c r="E45" s="289"/>
      <c r="F45" s="289"/>
      <c r="G45" s="318" t="s">
        <v>615</v>
      </c>
      <c r="H45" s="300" t="s">
        <v>616</v>
      </c>
      <c r="I45" s="289"/>
      <c r="J45" s="289"/>
      <c r="K45" s="289"/>
      <c r="L45" s="289"/>
      <c r="M45" s="289"/>
      <c r="N45" s="289"/>
      <c r="O45" s="289"/>
      <c r="P45" s="289"/>
      <c r="Q45" s="289"/>
      <c r="R45" s="289"/>
    </row>
    <row r="46">
      <c r="A46" s="289"/>
      <c r="B46" s="289"/>
      <c r="C46" s="289"/>
      <c r="D46" s="289"/>
      <c r="E46" s="289"/>
      <c r="F46" s="289"/>
      <c r="G46" s="318" t="s">
        <v>618</v>
      </c>
      <c r="H46" s="300" t="s">
        <v>619</v>
      </c>
      <c r="I46" s="289"/>
      <c r="J46" s="289"/>
      <c r="K46" s="289"/>
      <c r="L46" s="289"/>
      <c r="M46" s="289"/>
      <c r="N46" s="289"/>
      <c r="O46" s="289"/>
      <c r="P46" s="289"/>
      <c r="Q46" s="289"/>
      <c r="R46" s="289"/>
    </row>
    <row r="47">
      <c r="A47" s="289"/>
      <c r="B47" s="289"/>
      <c r="C47" s="289"/>
      <c r="D47" s="289"/>
      <c r="E47" s="289"/>
      <c r="F47" s="289"/>
      <c r="G47" s="318" t="s">
        <v>622</v>
      </c>
      <c r="H47" s="300" t="s">
        <v>623</v>
      </c>
      <c r="I47" s="289"/>
      <c r="J47" s="289"/>
      <c r="K47" s="289"/>
      <c r="L47" s="289"/>
      <c r="M47" s="289"/>
      <c r="N47" s="289"/>
      <c r="O47" s="289"/>
      <c r="P47" s="289"/>
      <c r="Q47" s="289"/>
      <c r="R47" s="289"/>
    </row>
    <row r="48">
      <c r="A48" s="289"/>
      <c r="B48" s="289"/>
      <c r="C48" s="289"/>
      <c r="D48" s="289"/>
      <c r="E48" s="289"/>
      <c r="F48" s="289"/>
      <c r="G48" s="318" t="s">
        <v>625</v>
      </c>
      <c r="H48" s="300" t="s">
        <v>626</v>
      </c>
      <c r="I48" s="289"/>
      <c r="J48" s="289"/>
      <c r="K48" s="289"/>
      <c r="L48" s="289"/>
      <c r="M48" s="289"/>
      <c r="N48" s="289"/>
      <c r="O48" s="289"/>
      <c r="P48" s="289"/>
      <c r="Q48" s="289"/>
      <c r="R48" s="289"/>
    </row>
    <row r="49">
      <c r="A49" s="289"/>
      <c r="B49" s="289"/>
      <c r="C49" s="289"/>
      <c r="D49" s="289"/>
      <c r="E49" s="289"/>
      <c r="F49" s="289"/>
      <c r="G49" s="318" t="s">
        <v>628</v>
      </c>
      <c r="H49" s="300" t="s">
        <v>629</v>
      </c>
      <c r="I49" s="238" t="s">
        <v>1027</v>
      </c>
      <c r="J49" s="289"/>
      <c r="K49" s="289"/>
      <c r="L49" s="289"/>
      <c r="M49" s="289"/>
      <c r="N49" s="289"/>
      <c r="O49" s="289"/>
      <c r="P49" s="289"/>
      <c r="Q49" s="289"/>
      <c r="R49" s="289"/>
    </row>
    <row r="50">
      <c r="A50" s="289"/>
      <c r="B50" s="289"/>
      <c r="C50" s="289"/>
      <c r="D50" s="289"/>
      <c r="E50" s="289"/>
      <c r="F50" s="289"/>
      <c r="G50" s="318" t="s">
        <v>632</v>
      </c>
      <c r="H50" s="300" t="s">
        <v>633</v>
      </c>
      <c r="I50" s="238" t="s">
        <v>1027</v>
      </c>
      <c r="J50" s="289"/>
      <c r="K50" s="289"/>
      <c r="L50" s="289"/>
      <c r="M50" s="289"/>
      <c r="N50" s="289"/>
      <c r="O50" s="289"/>
      <c r="P50" s="289"/>
      <c r="Q50" s="289"/>
      <c r="R50" s="289"/>
    </row>
    <row r="51">
      <c r="A51" s="289"/>
      <c r="B51" s="289"/>
      <c r="C51" s="289"/>
      <c r="D51" s="289"/>
      <c r="E51" s="289"/>
      <c r="F51" s="289"/>
      <c r="G51" s="318" t="s">
        <v>636</v>
      </c>
      <c r="H51" s="300" t="s">
        <v>637</v>
      </c>
      <c r="I51" s="238" t="s">
        <v>1027</v>
      </c>
      <c r="J51" s="289"/>
      <c r="K51" s="289"/>
      <c r="L51" s="289"/>
      <c r="M51" s="289"/>
      <c r="N51" s="289"/>
      <c r="O51" s="289"/>
      <c r="P51" s="289"/>
      <c r="Q51" s="289"/>
      <c r="R51" s="289"/>
    </row>
    <row r="52">
      <c r="A52" s="289"/>
      <c r="B52" s="289"/>
      <c r="C52" s="289"/>
      <c r="D52" s="289"/>
      <c r="E52" s="289"/>
      <c r="F52" s="289"/>
      <c r="G52" s="318" t="s">
        <v>640</v>
      </c>
      <c r="H52" s="300" t="s">
        <v>641</v>
      </c>
      <c r="I52" s="238" t="s">
        <v>1027</v>
      </c>
      <c r="J52" s="289"/>
      <c r="K52" s="289"/>
      <c r="L52" s="289"/>
      <c r="M52" s="289"/>
      <c r="N52" s="289"/>
      <c r="O52" s="289"/>
      <c r="P52" s="289"/>
      <c r="Q52" s="289"/>
      <c r="R52" s="289"/>
    </row>
    <row r="53">
      <c r="A53" s="289"/>
      <c r="B53" s="289"/>
      <c r="C53" s="289"/>
      <c r="D53" s="289"/>
      <c r="E53" s="289"/>
      <c r="F53" s="289"/>
      <c r="G53" s="318" t="s">
        <v>644</v>
      </c>
      <c r="H53" s="300" t="s">
        <v>645</v>
      </c>
      <c r="I53" s="238" t="s">
        <v>1027</v>
      </c>
      <c r="J53" s="289"/>
      <c r="K53" s="289"/>
      <c r="L53" s="289"/>
      <c r="M53" s="289"/>
      <c r="N53" s="289"/>
      <c r="O53" s="289"/>
      <c r="P53" s="289"/>
      <c r="Q53" s="289"/>
      <c r="R53" s="289"/>
    </row>
    <row r="54">
      <c r="A54" s="289"/>
      <c r="B54" s="289"/>
      <c r="C54" s="289"/>
      <c r="D54" s="289"/>
      <c r="E54" s="289"/>
      <c r="F54" s="289"/>
      <c r="G54" s="318" t="s">
        <v>648</v>
      </c>
      <c r="H54" s="300" t="s">
        <v>552</v>
      </c>
      <c r="I54" s="238" t="s">
        <v>1027</v>
      </c>
      <c r="J54" s="289"/>
      <c r="K54" s="289"/>
      <c r="L54" s="289"/>
      <c r="M54" s="289"/>
      <c r="N54" s="289"/>
      <c r="O54" s="289"/>
      <c r="P54" s="289"/>
      <c r="Q54" s="289"/>
      <c r="R54" s="289"/>
    </row>
    <row r="55">
      <c r="A55" s="289"/>
      <c r="B55" s="289"/>
      <c r="C55" s="289"/>
      <c r="D55" s="289"/>
      <c r="E55" s="289"/>
      <c r="F55" s="289"/>
      <c r="G55" s="318" t="s">
        <v>671</v>
      </c>
      <c r="H55" s="300" t="s">
        <v>405</v>
      </c>
      <c r="I55" s="238" t="s">
        <v>1027</v>
      </c>
      <c r="J55" s="289"/>
      <c r="K55" s="289"/>
      <c r="L55" s="289"/>
      <c r="M55" s="289"/>
      <c r="N55" s="289"/>
      <c r="O55" s="289"/>
      <c r="P55" s="289"/>
      <c r="Q55" s="289"/>
      <c r="R55" s="289"/>
    </row>
    <row r="56">
      <c r="A56" s="289"/>
      <c r="B56" s="289"/>
      <c r="C56" s="289"/>
      <c r="D56" s="289"/>
      <c r="E56" s="289"/>
      <c r="F56" s="289"/>
      <c r="G56" s="318" t="s">
        <v>681</v>
      </c>
      <c r="H56" s="300" t="s">
        <v>1356</v>
      </c>
      <c r="I56" s="238" t="s">
        <v>1027</v>
      </c>
      <c r="J56" s="289"/>
      <c r="K56" s="289"/>
      <c r="L56" s="289"/>
      <c r="M56" s="289"/>
      <c r="N56" s="289"/>
      <c r="O56" s="289"/>
      <c r="P56" s="289"/>
      <c r="Q56" s="289"/>
      <c r="R56" s="289"/>
    </row>
    <row r="57">
      <c r="A57" s="289"/>
      <c r="B57" s="289"/>
      <c r="C57" s="289"/>
      <c r="D57" s="289"/>
      <c r="E57" s="289"/>
      <c r="F57" s="289"/>
      <c r="G57" s="318" t="s">
        <v>683</v>
      </c>
      <c r="H57" s="300" t="s">
        <v>684</v>
      </c>
      <c r="I57" s="238" t="s">
        <v>1027</v>
      </c>
      <c r="J57" s="289"/>
      <c r="K57" s="289"/>
      <c r="L57" s="289"/>
      <c r="M57" s="289"/>
      <c r="N57" s="289"/>
      <c r="O57" s="289"/>
      <c r="P57" s="289"/>
      <c r="Q57" s="289"/>
      <c r="R57" s="289"/>
    </row>
    <row r="58">
      <c r="A58" s="289"/>
      <c r="B58" s="289"/>
      <c r="C58" s="289"/>
      <c r="D58" s="289"/>
      <c r="E58" s="289"/>
      <c r="F58" s="289"/>
      <c r="G58" s="318" t="s">
        <v>685</v>
      </c>
      <c r="H58" s="300" t="s">
        <v>686</v>
      </c>
      <c r="I58" s="289"/>
      <c r="J58" s="289"/>
      <c r="K58" s="289"/>
      <c r="L58" s="289"/>
      <c r="M58" s="289"/>
      <c r="N58" s="289"/>
      <c r="O58" s="289"/>
      <c r="P58" s="289"/>
      <c r="Q58" s="289"/>
      <c r="R58" s="289"/>
    </row>
    <row r="59">
      <c r="A59" s="289"/>
      <c r="B59" s="289"/>
      <c r="C59" s="289"/>
      <c r="D59" s="289"/>
      <c r="E59" s="289"/>
      <c r="F59" s="289"/>
      <c r="G59" s="318" t="s">
        <v>705</v>
      </c>
      <c r="H59" s="300" t="s">
        <v>1356</v>
      </c>
      <c r="I59" s="238"/>
      <c r="J59" s="289"/>
      <c r="K59" s="289"/>
      <c r="L59" s="289"/>
      <c r="M59" s="289"/>
      <c r="N59" s="289"/>
      <c r="O59" s="289"/>
      <c r="P59" s="289"/>
      <c r="Q59" s="289"/>
      <c r="R59" s="289"/>
    </row>
    <row r="60">
      <c r="A60" s="289"/>
      <c r="B60" s="289"/>
      <c r="C60" s="289"/>
      <c r="D60" s="289"/>
      <c r="E60" s="289"/>
      <c r="F60" s="289"/>
      <c r="G60" s="345" t="s">
        <v>716</v>
      </c>
      <c r="H60" s="365" t="s">
        <v>717</v>
      </c>
      <c r="I60" s="347"/>
      <c r="J60" s="289"/>
      <c r="K60" s="289"/>
      <c r="L60" s="289"/>
      <c r="M60" s="289"/>
      <c r="N60" s="289"/>
      <c r="O60" s="289"/>
      <c r="P60" s="289"/>
      <c r="Q60" s="289"/>
      <c r="R60" s="289"/>
    </row>
    <row r="61">
      <c r="A61" s="289"/>
      <c r="B61" s="289"/>
      <c r="C61" s="289"/>
      <c r="D61" s="289"/>
      <c r="E61" s="289"/>
      <c r="F61" s="289"/>
      <c r="G61" s="318"/>
      <c r="H61" s="300"/>
      <c r="I61" s="238"/>
      <c r="J61" s="289"/>
      <c r="K61" s="289"/>
      <c r="L61" s="289"/>
      <c r="M61" s="289"/>
      <c r="N61" s="289"/>
      <c r="O61" s="289"/>
      <c r="P61" s="289"/>
      <c r="Q61" s="289"/>
      <c r="R61" s="289"/>
    </row>
    <row r="62">
      <c r="A62" s="289"/>
      <c r="B62" s="289"/>
      <c r="C62" s="289"/>
      <c r="D62" s="289"/>
      <c r="E62" s="289"/>
      <c r="F62" s="289"/>
      <c r="G62" s="315" t="s">
        <v>757</v>
      </c>
      <c r="H62" s="368" t="s">
        <v>758</v>
      </c>
      <c r="I62" s="321" t="s">
        <v>2435</v>
      </c>
      <c r="J62" s="289"/>
      <c r="K62" s="289"/>
      <c r="L62" s="289"/>
      <c r="M62" s="289"/>
      <c r="N62" s="289"/>
      <c r="O62" s="289"/>
      <c r="P62" s="289"/>
      <c r="Q62" s="289"/>
      <c r="R62" s="289"/>
    </row>
    <row r="63">
      <c r="A63" s="289"/>
      <c r="B63" s="289"/>
      <c r="C63" s="289"/>
      <c r="D63" s="289"/>
      <c r="E63" s="289"/>
      <c r="F63" s="289"/>
      <c r="G63" s="345" t="s">
        <v>764</v>
      </c>
      <c r="H63" s="365" t="s">
        <v>765</v>
      </c>
      <c r="I63" s="325" t="s">
        <v>2481</v>
      </c>
      <c r="J63" s="289"/>
      <c r="K63" s="289"/>
      <c r="L63" s="289"/>
      <c r="M63" s="289"/>
      <c r="N63" s="289"/>
      <c r="O63" s="289"/>
      <c r="P63" s="289"/>
      <c r="Q63" s="289"/>
      <c r="R63" s="289"/>
    </row>
    <row r="64">
      <c r="A64" s="289"/>
      <c r="B64" s="289"/>
      <c r="C64" s="289"/>
      <c r="D64" s="289"/>
      <c r="E64" s="289"/>
      <c r="F64" s="289"/>
      <c r="G64" s="318" t="s">
        <v>770</v>
      </c>
      <c r="H64" s="300" t="s">
        <v>771</v>
      </c>
      <c r="I64" s="325" t="s">
        <v>2481</v>
      </c>
      <c r="J64" s="289"/>
      <c r="K64" s="289"/>
      <c r="L64" s="289"/>
      <c r="M64" s="289"/>
      <c r="N64" s="289"/>
      <c r="O64" s="289"/>
      <c r="P64" s="289"/>
      <c r="Q64" s="289"/>
      <c r="R64" s="289"/>
    </row>
    <row r="65">
      <c r="A65" s="289"/>
      <c r="B65" s="289"/>
      <c r="C65" s="289"/>
      <c r="D65" s="289"/>
      <c r="E65" s="289"/>
      <c r="F65" s="289"/>
      <c r="G65" s="318" t="s">
        <v>776</v>
      </c>
      <c r="H65" s="351" t="s">
        <v>480</v>
      </c>
      <c r="I65" s="238" t="s">
        <v>2482</v>
      </c>
      <c r="J65" s="289"/>
      <c r="K65" s="289"/>
      <c r="L65" s="289"/>
      <c r="M65" s="289"/>
      <c r="N65" s="289"/>
      <c r="O65" s="289"/>
      <c r="P65" s="289"/>
      <c r="Q65" s="289"/>
      <c r="R65" s="289"/>
    </row>
    <row r="66">
      <c r="A66" s="289"/>
      <c r="B66" s="289"/>
      <c r="C66" s="289"/>
      <c r="D66" s="289"/>
      <c r="E66" s="289"/>
      <c r="F66" s="289"/>
      <c r="G66" s="318" t="s">
        <v>781</v>
      </c>
      <c r="H66" s="351" t="s">
        <v>782</v>
      </c>
      <c r="I66" s="238" t="s">
        <v>2482</v>
      </c>
      <c r="J66" s="289"/>
      <c r="K66" s="289"/>
      <c r="L66" s="289"/>
      <c r="M66" s="289"/>
      <c r="N66" s="289"/>
      <c r="O66" s="289"/>
      <c r="P66" s="289"/>
      <c r="Q66" s="289"/>
      <c r="R66" s="289"/>
    </row>
    <row r="67">
      <c r="A67" s="289"/>
      <c r="B67" s="289"/>
      <c r="C67" s="289"/>
      <c r="D67" s="289"/>
      <c r="E67" s="289"/>
      <c r="F67" s="289"/>
      <c r="G67" s="318" t="s">
        <v>784</v>
      </c>
      <c r="H67" s="351" t="s">
        <v>785</v>
      </c>
      <c r="I67" s="238" t="s">
        <v>2482</v>
      </c>
      <c r="J67" s="289"/>
      <c r="K67" s="289"/>
      <c r="L67" s="289"/>
      <c r="M67" s="289"/>
      <c r="N67" s="289"/>
      <c r="O67" s="289"/>
      <c r="P67" s="289"/>
      <c r="Q67" s="289"/>
      <c r="R67" s="289"/>
    </row>
    <row r="68">
      <c r="A68" s="289"/>
      <c r="B68" s="289"/>
      <c r="C68" s="289"/>
      <c r="D68" s="289"/>
      <c r="E68" s="289"/>
      <c r="F68" s="289"/>
      <c r="G68" s="318" t="s">
        <v>791</v>
      </c>
      <c r="H68" s="300" t="s">
        <v>792</v>
      </c>
      <c r="I68" s="325" t="s">
        <v>2481</v>
      </c>
      <c r="J68" s="289"/>
      <c r="K68" s="289"/>
      <c r="L68" s="289"/>
      <c r="M68" s="289"/>
      <c r="N68" s="289"/>
      <c r="O68" s="289"/>
      <c r="P68" s="289"/>
      <c r="Q68" s="289"/>
      <c r="R68" s="289"/>
    </row>
    <row r="69">
      <c r="A69" s="289"/>
      <c r="B69" s="289"/>
      <c r="C69" s="289"/>
      <c r="D69" s="289"/>
      <c r="E69" s="289"/>
      <c r="F69" s="289"/>
      <c r="G69" s="345" t="s">
        <v>793</v>
      </c>
      <c r="H69" s="365" t="s">
        <v>514</v>
      </c>
      <c r="I69" s="347" t="s">
        <v>2482</v>
      </c>
      <c r="J69" s="289"/>
      <c r="K69" s="289"/>
      <c r="L69" s="289"/>
      <c r="M69" s="289"/>
      <c r="N69" s="289"/>
      <c r="O69" s="289"/>
      <c r="P69" s="289"/>
      <c r="Q69" s="289"/>
      <c r="R69" s="289"/>
    </row>
    <row r="70">
      <c r="A70" s="289"/>
      <c r="B70" s="289"/>
      <c r="C70" s="289"/>
      <c r="D70" s="289"/>
      <c r="E70" s="289"/>
      <c r="F70" s="289"/>
      <c r="G70" s="331" t="s">
        <v>809</v>
      </c>
      <c r="H70" s="361" t="s">
        <v>810</v>
      </c>
      <c r="I70" s="333"/>
      <c r="J70" s="289"/>
      <c r="K70" s="289"/>
      <c r="L70" s="289"/>
      <c r="M70" s="289"/>
      <c r="N70" s="289"/>
      <c r="O70" s="289"/>
      <c r="P70" s="289"/>
      <c r="Q70" s="289"/>
      <c r="R70" s="289"/>
    </row>
    <row r="71">
      <c r="A71" s="289"/>
      <c r="B71" s="289"/>
      <c r="C71" s="289"/>
      <c r="D71" s="289"/>
      <c r="E71" s="289"/>
      <c r="F71" s="289"/>
      <c r="G71" s="318" t="s">
        <v>814</v>
      </c>
      <c r="H71" s="300" t="s">
        <v>2483</v>
      </c>
      <c r="I71" s="325" t="s">
        <v>2481</v>
      </c>
      <c r="J71" s="289"/>
      <c r="K71" s="289"/>
      <c r="L71" s="289"/>
      <c r="M71" s="289"/>
      <c r="N71" s="289"/>
      <c r="O71" s="289"/>
      <c r="P71" s="289"/>
      <c r="Q71" s="289"/>
      <c r="R71" s="289"/>
    </row>
    <row r="72">
      <c r="A72" s="289"/>
      <c r="B72" s="289"/>
      <c r="C72" s="289"/>
      <c r="D72" s="289"/>
      <c r="E72" s="289"/>
      <c r="F72" s="289"/>
      <c r="G72" s="315" t="s">
        <v>819</v>
      </c>
      <c r="H72" s="368" t="s">
        <v>1356</v>
      </c>
      <c r="I72" s="321" t="s">
        <v>2435</v>
      </c>
      <c r="J72" s="289"/>
      <c r="K72" s="289"/>
      <c r="L72" s="289"/>
      <c r="M72" s="289"/>
      <c r="N72" s="289"/>
      <c r="O72" s="289"/>
      <c r="P72" s="289"/>
      <c r="Q72" s="289"/>
      <c r="R72" s="289"/>
    </row>
    <row r="73">
      <c r="G73" s="318" t="s">
        <v>563</v>
      </c>
      <c r="H73" s="300" t="s">
        <v>564</v>
      </c>
      <c r="I73" s="238" t="s">
        <v>2484</v>
      </c>
    </row>
    <row r="74">
      <c r="G74" s="331" t="s">
        <v>605</v>
      </c>
      <c r="H74" s="361" t="s">
        <v>606</v>
      </c>
      <c r="I74" s="333" t="s">
        <v>2484</v>
      </c>
    </row>
    <row r="75">
      <c r="G75" s="318" t="s">
        <v>658</v>
      </c>
      <c r="H75" s="300" t="s">
        <v>659</v>
      </c>
      <c r="I75" s="238" t="s">
        <v>2485</v>
      </c>
    </row>
    <row r="76">
      <c r="G76" s="318" t="s">
        <v>547</v>
      </c>
      <c r="H76" s="300" t="s">
        <v>548</v>
      </c>
      <c r="I76" s="238" t="s">
        <v>2484</v>
      </c>
    </row>
    <row r="77">
      <c r="G77" s="383" t="s">
        <v>1158</v>
      </c>
      <c r="H77" s="384" t="s">
        <v>2486</v>
      </c>
      <c r="I77" s="333"/>
    </row>
    <row r="78">
      <c r="G78" s="331" t="s">
        <v>863</v>
      </c>
      <c r="H78" s="361" t="s">
        <v>864</v>
      </c>
      <c r="I78" s="333" t="s">
        <v>2469</v>
      </c>
    </row>
    <row r="79">
      <c r="G79" s="383" t="s">
        <v>1167</v>
      </c>
      <c r="H79" s="384" t="s">
        <v>2487</v>
      </c>
      <c r="I79" s="333"/>
    </row>
    <row r="80">
      <c r="G80" s="383" t="s">
        <v>1161</v>
      </c>
      <c r="H80" s="385" t="s">
        <v>1162</v>
      </c>
      <c r="I80" s="333"/>
    </row>
    <row r="81">
      <c r="G81" s="383" t="s">
        <v>1038</v>
      </c>
      <c r="H81" s="385" t="s">
        <v>510</v>
      </c>
      <c r="I81" s="333"/>
    </row>
    <row r="82">
      <c r="G82" s="383" t="s">
        <v>849</v>
      </c>
      <c r="H82" s="385" t="s">
        <v>850</v>
      </c>
      <c r="I82" s="333"/>
    </row>
    <row r="83">
      <c r="G83" s="383" t="s">
        <v>585</v>
      </c>
      <c r="H83" s="385" t="s">
        <v>586</v>
      </c>
      <c r="I83" s="333"/>
    </row>
    <row r="84">
      <c r="G84" s="383" t="s">
        <v>587</v>
      </c>
      <c r="H84" s="385" t="s">
        <v>471</v>
      </c>
      <c r="I84" s="333"/>
    </row>
    <row r="85">
      <c r="G85" s="383" t="s">
        <v>1203</v>
      </c>
      <c r="H85" s="385" t="s">
        <v>1204</v>
      </c>
      <c r="I85" s="333"/>
    </row>
    <row r="86">
      <c r="G86" s="383" t="s">
        <v>1187</v>
      </c>
      <c r="H86" s="385" t="s">
        <v>1192</v>
      </c>
      <c r="I86" s="333"/>
    </row>
    <row r="87">
      <c r="G87" s="383" t="s">
        <v>697</v>
      </c>
      <c r="H87" s="385" t="s">
        <v>698</v>
      </c>
      <c r="I87" s="333"/>
    </row>
    <row r="88">
      <c r="G88" s="383" t="s">
        <v>1149</v>
      </c>
      <c r="H88" s="384" t="s">
        <v>2488</v>
      </c>
      <c r="I88" s="333"/>
    </row>
    <row r="89">
      <c r="G89" s="383" t="s">
        <v>727</v>
      </c>
      <c r="H89" s="385" t="s">
        <v>728</v>
      </c>
      <c r="I89" s="333"/>
    </row>
    <row r="90">
      <c r="G90" s="380"/>
      <c r="H90" s="386"/>
      <c r="I90" s="238"/>
    </row>
  </sheetData>
  <mergeCells count="6">
    <mergeCell ref="A2:C2"/>
    <mergeCell ref="D2:F2"/>
    <mergeCell ref="H2:I2"/>
    <mergeCell ref="K2:L2"/>
    <mergeCell ref="M2:O2"/>
    <mergeCell ref="P2:R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21.57"/>
    <col customWidth="1" min="3" max="3" width="18.14"/>
    <col customWidth="1" min="4" max="4" width="10.71"/>
    <col customWidth="1" min="5" max="5" width="14.86"/>
    <col customWidth="1" min="6" max="6" width="19.14"/>
    <col customWidth="1" min="7" max="26" width="10.71"/>
  </cols>
  <sheetData>
    <row r="1" ht="14.25" customHeight="1"/>
    <row r="2" ht="14.25" customHeight="1">
      <c r="A2" s="387" t="s">
        <v>2489</v>
      </c>
      <c r="C2" s="388" t="s">
        <v>2490</v>
      </c>
      <c r="D2" s="388" t="s">
        <v>2491</v>
      </c>
      <c r="E2" s="388" t="s">
        <v>2492</v>
      </c>
      <c r="F2" s="388" t="s">
        <v>1228</v>
      </c>
      <c r="G2" s="388" t="s">
        <v>1336</v>
      </c>
      <c r="H2" s="313" t="s">
        <v>2493</v>
      </c>
    </row>
    <row r="3" ht="14.25" customHeight="1">
      <c r="A3" s="389" t="s">
        <v>2098</v>
      </c>
      <c r="B3" s="390" t="s">
        <v>87</v>
      </c>
      <c r="C3" s="388">
        <v>30.838</v>
      </c>
      <c r="D3" s="68">
        <v>1.982</v>
      </c>
      <c r="E3" s="68">
        <v>2.241</v>
      </c>
      <c r="F3" s="68">
        <v>0.617</v>
      </c>
      <c r="G3" s="68">
        <v>0.311</v>
      </c>
    </row>
    <row r="4" ht="14.25" customHeight="1">
      <c r="A4" s="389" t="s">
        <v>66</v>
      </c>
      <c r="B4" s="390" t="s">
        <v>65</v>
      </c>
      <c r="C4" s="388">
        <v>54.548</v>
      </c>
      <c r="D4" s="68">
        <v>2.066</v>
      </c>
      <c r="E4" s="68">
        <v>2.217</v>
      </c>
      <c r="F4" s="68">
        <v>1.091</v>
      </c>
      <c r="G4" s="68">
        <v>0.528</v>
      </c>
    </row>
    <row r="5" ht="14.25" customHeight="1">
      <c r="A5" s="389" t="s">
        <v>2494</v>
      </c>
      <c r="B5" s="390" t="s">
        <v>2495</v>
      </c>
      <c r="C5" s="388">
        <v>59.725</v>
      </c>
      <c r="D5" s="68">
        <v>2.072</v>
      </c>
      <c r="E5" s="68">
        <v>1.311</v>
      </c>
      <c r="F5" s="68">
        <v>1.194</v>
      </c>
      <c r="G5" s="68">
        <v>0.576</v>
      </c>
    </row>
    <row r="6" ht="14.25" customHeight="1">
      <c r="A6" s="389" t="s">
        <v>2092</v>
      </c>
      <c r="B6" s="390" t="s">
        <v>71</v>
      </c>
      <c r="C6" s="388">
        <v>74.952</v>
      </c>
      <c r="D6" s="68">
        <v>2.04</v>
      </c>
      <c r="E6" s="68">
        <v>2.164</v>
      </c>
      <c r="F6" s="68">
        <v>1.499</v>
      </c>
      <c r="G6" s="68">
        <v>0.735</v>
      </c>
    </row>
    <row r="7" ht="14.25" customHeight="1">
      <c r="A7" s="389" t="s">
        <v>480</v>
      </c>
      <c r="B7" s="390" t="s">
        <v>95</v>
      </c>
      <c r="C7" s="388">
        <v>32.628</v>
      </c>
      <c r="D7" s="68">
        <v>2.019</v>
      </c>
      <c r="E7" s="68">
        <v>1.783</v>
      </c>
      <c r="F7" s="68">
        <v>0.653</v>
      </c>
      <c r="G7" s="68">
        <v>0.323</v>
      </c>
    </row>
    <row r="8" ht="14.25" customHeight="1">
      <c r="A8" s="389" t="s">
        <v>117</v>
      </c>
      <c r="B8" s="390" t="s">
        <v>115</v>
      </c>
      <c r="C8" s="388">
        <v>89.232</v>
      </c>
      <c r="D8" s="68">
        <v>2.031</v>
      </c>
      <c r="E8" s="68">
        <v>1.923</v>
      </c>
      <c r="F8" s="68">
        <v>1.785</v>
      </c>
      <c r="G8" s="68">
        <v>0.879</v>
      </c>
    </row>
    <row r="9" ht="14.25" customHeight="1">
      <c r="A9" s="389" t="s">
        <v>2130</v>
      </c>
      <c r="B9" s="390" t="s">
        <v>139</v>
      </c>
      <c r="C9" s="388">
        <v>135.892</v>
      </c>
      <c r="D9" s="68">
        <v>2.002</v>
      </c>
      <c r="E9" s="68">
        <v>1.746</v>
      </c>
      <c r="F9" s="68">
        <v>2.718</v>
      </c>
      <c r="G9" s="68">
        <v>1.357</v>
      </c>
      <c r="J9" s="215"/>
    </row>
    <row r="10" ht="14.25" customHeight="1">
      <c r="A10" s="389" t="s">
        <v>2125</v>
      </c>
      <c r="B10" s="390" t="s">
        <v>131</v>
      </c>
      <c r="C10" s="388">
        <v>111.316</v>
      </c>
      <c r="D10" s="68">
        <v>2.015</v>
      </c>
      <c r="E10" s="68">
        <v>1.366</v>
      </c>
      <c r="F10" s="68">
        <v>2.226</v>
      </c>
      <c r="G10" s="68">
        <v>1.105</v>
      </c>
      <c r="J10" s="215"/>
    </row>
    <row r="11" ht="14.25" customHeight="1">
      <c r="A11" s="389" t="s">
        <v>2082</v>
      </c>
      <c r="B11" s="390" t="s">
        <v>2496</v>
      </c>
      <c r="C11" s="388">
        <v>26.16</v>
      </c>
      <c r="D11" s="68">
        <v>2.056</v>
      </c>
      <c r="E11" s="68">
        <v>2.165</v>
      </c>
      <c r="F11" s="68">
        <v>0.523</v>
      </c>
      <c r="G11" s="68">
        <v>0.254</v>
      </c>
      <c r="J11" s="215"/>
    </row>
    <row r="12" ht="14.25" customHeight="1">
      <c r="A12" s="389" t="s">
        <v>2108</v>
      </c>
      <c r="B12" s="390" t="s">
        <v>106</v>
      </c>
      <c r="C12" s="388">
        <v>68.788</v>
      </c>
      <c r="D12" s="68">
        <v>2.007</v>
      </c>
      <c r="E12" s="68">
        <v>2.074</v>
      </c>
      <c r="F12" s="68">
        <v>1.376</v>
      </c>
      <c r="G12" s="68">
        <v>0.685</v>
      </c>
      <c r="J12" s="215"/>
    </row>
    <row r="13" ht="14.25" customHeight="1">
      <c r="A13" s="389" t="s">
        <v>2119</v>
      </c>
      <c r="B13" s="68" t="s">
        <v>123</v>
      </c>
      <c r="C13" s="313" t="s">
        <v>2497</v>
      </c>
      <c r="D13" s="391">
        <v>43984.0</v>
      </c>
      <c r="E13" s="390" t="s">
        <v>2498</v>
      </c>
      <c r="F13" s="392">
        <v>1222.0</v>
      </c>
      <c r="G13" s="392">
        <v>593.0</v>
      </c>
      <c r="J13" s="215"/>
    </row>
    <row r="14" ht="14.25" customHeight="1">
      <c r="A14" s="389" t="s">
        <v>2139</v>
      </c>
      <c r="B14" s="68" t="s">
        <v>145</v>
      </c>
      <c r="C14" s="313" t="s">
        <v>2499</v>
      </c>
      <c r="D14" s="391">
        <v>44076.0</v>
      </c>
      <c r="E14" s="390" t="s">
        <v>2500</v>
      </c>
      <c r="F14" s="392">
        <v>5417.0</v>
      </c>
      <c r="G14" s="392">
        <v>2590.0</v>
      </c>
      <c r="J14" s="215"/>
    </row>
    <row r="15" ht="14.25" customHeight="1">
      <c r="A15" s="389" t="s">
        <v>2145</v>
      </c>
      <c r="B15" s="68" t="s">
        <v>151</v>
      </c>
      <c r="C15" s="313" t="s">
        <v>2501</v>
      </c>
      <c r="D15" s="393">
        <v>44167.0</v>
      </c>
      <c r="E15" s="390" t="s">
        <v>2502</v>
      </c>
      <c r="F15" s="392">
        <v>11729.0</v>
      </c>
      <c r="G15" s="392">
        <v>5537.0</v>
      </c>
      <c r="J15" s="215"/>
    </row>
    <row r="16" ht="14.25" customHeight="1">
      <c r="A16" s="389" t="s">
        <v>187</v>
      </c>
      <c r="B16" s="68" t="s">
        <v>167</v>
      </c>
      <c r="C16" s="313">
        <v>524.0</v>
      </c>
      <c r="D16" s="393">
        <v>44137.0</v>
      </c>
      <c r="E16" s="390" t="s">
        <v>2503</v>
      </c>
      <c r="F16" s="392">
        <v>10481.0</v>
      </c>
      <c r="G16" s="392">
        <v>4963.0</v>
      </c>
      <c r="J16" s="215"/>
    </row>
    <row r="17" ht="14.25" customHeight="1">
      <c r="A17" s="389" t="s">
        <v>2156</v>
      </c>
      <c r="B17" s="68" t="s">
        <v>174</v>
      </c>
      <c r="C17" s="313" t="s">
        <v>2504</v>
      </c>
      <c r="D17" s="390">
        <v>2.09</v>
      </c>
      <c r="E17" s="391">
        <v>44045.0</v>
      </c>
      <c r="F17" s="392">
        <v>2748.0</v>
      </c>
      <c r="G17" s="392">
        <v>1317.0</v>
      </c>
      <c r="J17" s="215"/>
    </row>
    <row r="18" ht="14.25" customHeight="1">
      <c r="A18" s="389" t="s">
        <v>168</v>
      </c>
      <c r="B18" s="68" t="s">
        <v>2159</v>
      </c>
      <c r="C18" s="313">
        <v>272.0</v>
      </c>
      <c r="D18" s="390">
        <v>2.08</v>
      </c>
      <c r="E18" s="390" t="s">
        <v>2505</v>
      </c>
      <c r="F18" s="392">
        <v>5440.0</v>
      </c>
      <c r="G18" s="392">
        <v>2164.0</v>
      </c>
      <c r="J18" s="215"/>
    </row>
    <row r="19" ht="14.25" customHeight="1">
      <c r="A19" s="394" t="s">
        <v>239</v>
      </c>
      <c r="B19" s="390" t="s">
        <v>238</v>
      </c>
      <c r="C19" s="313" t="s">
        <v>2506</v>
      </c>
      <c r="D19" s="390">
        <v>2.07</v>
      </c>
      <c r="E19" s="390">
        <v>2.17</v>
      </c>
      <c r="F19" s="390" t="s">
        <v>2507</v>
      </c>
      <c r="G19" s="390" t="s">
        <v>2508</v>
      </c>
      <c r="J19" s="215"/>
    </row>
    <row r="20" ht="14.25" customHeight="1">
      <c r="A20" s="389" t="s">
        <v>2509</v>
      </c>
      <c r="B20" s="390" t="s">
        <v>266</v>
      </c>
      <c r="C20" s="313" t="s">
        <v>2510</v>
      </c>
      <c r="D20" s="390">
        <v>2.07</v>
      </c>
      <c r="E20" s="390">
        <v>2.26</v>
      </c>
      <c r="F20" s="390" t="s">
        <v>2511</v>
      </c>
      <c r="G20" s="390" t="s">
        <v>2512</v>
      </c>
      <c r="J20" s="215"/>
    </row>
    <row r="21" ht="14.25" customHeight="1">
      <c r="A21" s="389" t="s">
        <v>294</v>
      </c>
      <c r="B21" s="390" t="s">
        <v>298</v>
      </c>
      <c r="C21" s="313" t="s">
        <v>2513</v>
      </c>
      <c r="D21" s="390" t="s">
        <v>2514</v>
      </c>
      <c r="E21" s="390">
        <v>2.25</v>
      </c>
      <c r="F21" s="392">
        <v>2608.0</v>
      </c>
      <c r="G21" s="390" t="s">
        <v>2515</v>
      </c>
      <c r="J21" s="215"/>
    </row>
    <row r="22" ht="14.25" customHeight="1">
      <c r="A22" s="389" t="s">
        <v>314</v>
      </c>
      <c r="B22" s="390" t="s">
        <v>313</v>
      </c>
      <c r="C22" s="313" t="s">
        <v>2516</v>
      </c>
      <c r="D22" s="390">
        <v>2.02</v>
      </c>
      <c r="E22" s="390">
        <v>2.16</v>
      </c>
      <c r="F22" s="390" t="s">
        <v>2517</v>
      </c>
      <c r="G22" s="390" t="s">
        <v>2518</v>
      </c>
      <c r="J22" s="215"/>
    </row>
    <row r="23" ht="14.25" customHeight="1">
      <c r="A23" s="395" t="s">
        <v>2519</v>
      </c>
      <c r="B23" s="390" t="s">
        <v>324</v>
      </c>
      <c r="C23" s="313" t="s">
        <v>2520</v>
      </c>
      <c r="D23" s="390">
        <v>2.04</v>
      </c>
      <c r="E23" s="396">
        <v>1.79</v>
      </c>
      <c r="F23" s="390" t="s">
        <v>2521</v>
      </c>
      <c r="G23" s="390" t="s">
        <v>2522</v>
      </c>
      <c r="J23" s="215"/>
    </row>
    <row r="24" ht="14.25" customHeight="1">
      <c r="A24" s="394" t="s">
        <v>107</v>
      </c>
      <c r="B24" s="390" t="s">
        <v>384</v>
      </c>
      <c r="C24" s="313" t="s">
        <v>2523</v>
      </c>
      <c r="D24" s="390" t="s">
        <v>2524</v>
      </c>
      <c r="E24" s="390">
        <v>2.06</v>
      </c>
      <c r="F24" s="390">
        <v>2.0</v>
      </c>
      <c r="G24" s="391">
        <v>44287.0</v>
      </c>
      <c r="J24" s="215"/>
    </row>
    <row r="25" ht="14.25" customHeight="1">
      <c r="A25" s="394" t="s">
        <v>428</v>
      </c>
      <c r="B25" s="390" t="s">
        <v>427</v>
      </c>
      <c r="C25" s="313" t="s">
        <v>2525</v>
      </c>
      <c r="D25" s="390">
        <v>2.05</v>
      </c>
      <c r="E25" s="390">
        <v>2.29</v>
      </c>
      <c r="F25" s="390" t="s">
        <v>2526</v>
      </c>
      <c r="G25" s="391">
        <v>44352.0</v>
      </c>
    </row>
    <row r="26" ht="14.25" customHeight="1">
      <c r="A26" s="397" t="s">
        <v>440</v>
      </c>
      <c r="B26" s="398" t="s">
        <v>439</v>
      </c>
      <c r="C26" s="399" t="s">
        <v>2527</v>
      </c>
      <c r="D26" s="398">
        <v>2.03</v>
      </c>
      <c r="E26" s="398">
        <v>2.59</v>
      </c>
      <c r="F26" s="398" t="s">
        <v>2528</v>
      </c>
      <c r="G26" s="398" t="s">
        <v>2529</v>
      </c>
    </row>
    <row r="27" ht="14.25" customHeight="1">
      <c r="A27" s="397" t="s">
        <v>440</v>
      </c>
      <c r="B27" s="398" t="s">
        <v>444</v>
      </c>
      <c r="C27" s="399">
        <v>52.0</v>
      </c>
      <c r="D27" s="398" t="s">
        <v>2530</v>
      </c>
      <c r="E27" s="398">
        <v>2.12</v>
      </c>
      <c r="F27" s="400">
        <v>44256.0</v>
      </c>
      <c r="G27" s="398" t="s">
        <v>2531</v>
      </c>
    </row>
    <row r="28" ht="14.25" customHeight="1">
      <c r="A28" s="394" t="s">
        <v>449</v>
      </c>
      <c r="B28" s="390" t="s">
        <v>448</v>
      </c>
      <c r="C28" s="313" t="s">
        <v>2532</v>
      </c>
      <c r="D28" s="390">
        <v>2.04</v>
      </c>
      <c r="E28" s="390">
        <v>2.13</v>
      </c>
      <c r="F28" s="391">
        <v>44298.0</v>
      </c>
      <c r="G28" s="390" t="s">
        <v>2533</v>
      </c>
    </row>
    <row r="29" ht="14.25" customHeight="1">
      <c r="A29" s="394" t="s">
        <v>456</v>
      </c>
      <c r="B29" s="390" t="s">
        <v>455</v>
      </c>
      <c r="C29" s="401" t="s">
        <v>2534</v>
      </c>
      <c r="D29" s="390">
        <v>2.09</v>
      </c>
      <c r="E29" s="390" t="s">
        <v>2535</v>
      </c>
      <c r="F29" s="390" t="s">
        <v>2536</v>
      </c>
      <c r="G29" s="390" t="s">
        <v>2537</v>
      </c>
    </row>
    <row r="30" ht="14.25" customHeight="1">
      <c r="I30" s="313" t="s">
        <v>2538</v>
      </c>
    </row>
    <row r="31" ht="14.25" customHeight="1">
      <c r="A31" s="389" t="s">
        <v>466</v>
      </c>
      <c r="B31" s="402" t="s">
        <v>465</v>
      </c>
      <c r="C31" s="313" t="s">
        <v>2539</v>
      </c>
      <c r="D31" s="391">
        <v>44441.0</v>
      </c>
      <c r="E31" s="392" t="s">
        <v>2498</v>
      </c>
      <c r="F31" s="391">
        <v>44441.0</v>
      </c>
      <c r="G31" s="392">
        <v>1001.0</v>
      </c>
      <c r="H31" s="393">
        <v>44200.0</v>
      </c>
      <c r="I31" s="304">
        <f t="shared" ref="I31:I38" si="1">2000/J31</f>
        <v>19.12045889</v>
      </c>
      <c r="J31" s="304">
        <v>104.6</v>
      </c>
    </row>
    <row r="32" ht="14.25" customHeight="1">
      <c r="A32" s="389" t="s">
        <v>504</v>
      </c>
      <c r="B32" s="402" t="s">
        <v>503</v>
      </c>
      <c r="C32" s="313" t="s">
        <v>2540</v>
      </c>
      <c r="D32" s="403" t="s">
        <v>2541</v>
      </c>
      <c r="E32" s="390" t="s">
        <v>2542</v>
      </c>
      <c r="F32" s="392">
        <v>755.0</v>
      </c>
      <c r="G32" s="392">
        <v>391.0</v>
      </c>
      <c r="H32" s="393">
        <v>44317.0</v>
      </c>
      <c r="I32" s="304">
        <f t="shared" si="1"/>
        <v>53.05039788</v>
      </c>
      <c r="J32" s="304">
        <v>37.7</v>
      </c>
    </row>
    <row r="33" ht="14.25" customHeight="1">
      <c r="A33" s="404" t="s">
        <v>2440</v>
      </c>
      <c r="B33" s="402" t="s">
        <v>557</v>
      </c>
      <c r="C33" s="313" t="s">
        <v>2543</v>
      </c>
      <c r="D33" s="405">
        <v>44410.0</v>
      </c>
      <c r="E33" s="390" t="s">
        <v>2544</v>
      </c>
      <c r="F33" s="392">
        <v>2334.0</v>
      </c>
      <c r="G33" s="392">
        <v>1123.0</v>
      </c>
      <c r="H33" s="390" t="s">
        <v>2545</v>
      </c>
      <c r="I33" s="304">
        <f t="shared" si="1"/>
        <v>17.13796058</v>
      </c>
      <c r="J33" s="304">
        <v>116.7</v>
      </c>
    </row>
    <row r="34" ht="14.25" customHeight="1">
      <c r="A34" s="406" t="s">
        <v>440</v>
      </c>
      <c r="B34" s="402" t="s">
        <v>652</v>
      </c>
      <c r="C34" s="313" t="s">
        <v>2546</v>
      </c>
      <c r="D34" s="407">
        <v>44229.0</v>
      </c>
      <c r="E34" s="390" t="s">
        <v>2547</v>
      </c>
      <c r="F34" s="392">
        <v>4384.0</v>
      </c>
      <c r="G34" s="392">
        <v>2168.0</v>
      </c>
      <c r="H34" s="390" t="s">
        <v>2548</v>
      </c>
      <c r="I34" s="304">
        <f t="shared" si="1"/>
        <v>9.124087591</v>
      </c>
      <c r="J34" s="304">
        <v>219.2</v>
      </c>
    </row>
    <row r="35" ht="14.25" customHeight="1">
      <c r="A35" s="406" t="s">
        <v>440</v>
      </c>
      <c r="B35" s="402" t="s">
        <v>665</v>
      </c>
      <c r="C35" s="313" t="s">
        <v>2549</v>
      </c>
      <c r="D35" s="408" t="s">
        <v>2524</v>
      </c>
      <c r="E35" s="390" t="s">
        <v>2550</v>
      </c>
      <c r="F35" s="392">
        <v>2023.0</v>
      </c>
      <c r="G35" s="392">
        <v>1022.0</v>
      </c>
      <c r="H35" s="390">
        <v>4.0</v>
      </c>
      <c r="I35" s="304">
        <f t="shared" si="1"/>
        <v>19.78239367</v>
      </c>
      <c r="J35" s="304">
        <v>101.1</v>
      </c>
    </row>
    <row r="36" ht="14.25" customHeight="1">
      <c r="A36" s="389" t="s">
        <v>2450</v>
      </c>
      <c r="B36" s="402" t="s">
        <v>780</v>
      </c>
      <c r="C36" s="313" t="s">
        <v>2551</v>
      </c>
      <c r="D36" s="409">
        <v>44318.0</v>
      </c>
      <c r="E36" s="390" t="s">
        <v>2524</v>
      </c>
      <c r="F36" s="392">
        <v>3731.0</v>
      </c>
      <c r="G36" s="392">
        <v>1817.0</v>
      </c>
      <c r="H36" s="393">
        <v>44323.0</v>
      </c>
      <c r="I36" s="304">
        <f t="shared" si="1"/>
        <v>10.71811361</v>
      </c>
      <c r="J36" s="304">
        <v>186.6</v>
      </c>
    </row>
    <row r="37" ht="14.25" customHeight="1">
      <c r="A37" s="389" t="s">
        <v>2458</v>
      </c>
      <c r="B37" s="402" t="s">
        <v>795</v>
      </c>
      <c r="C37" s="313">
        <v>246.8</v>
      </c>
      <c r="D37" s="405">
        <v>44288.0</v>
      </c>
      <c r="E37" s="390" t="s">
        <v>2552</v>
      </c>
      <c r="F37" s="392">
        <v>4936.0</v>
      </c>
      <c r="G37" s="392">
        <v>2417.0</v>
      </c>
      <c r="H37" s="393">
        <v>44417.0</v>
      </c>
      <c r="I37" s="304">
        <f t="shared" si="1"/>
        <v>8.103727715</v>
      </c>
      <c r="J37" s="304">
        <v>246.8</v>
      </c>
    </row>
    <row r="38" ht="14.25" customHeight="1">
      <c r="A38" s="406" t="s">
        <v>2461</v>
      </c>
      <c r="B38" s="402" t="s">
        <v>836</v>
      </c>
      <c r="C38" s="313" t="s">
        <v>2553</v>
      </c>
      <c r="D38" s="405">
        <v>44318.0</v>
      </c>
      <c r="E38" s="390" t="s">
        <v>2554</v>
      </c>
      <c r="F38" s="392">
        <v>3972.0</v>
      </c>
      <c r="G38" s="392">
        <v>1938.0</v>
      </c>
      <c r="H38" s="393">
        <v>44446.0</v>
      </c>
      <c r="I38" s="304">
        <f t="shared" si="1"/>
        <v>10.07556675</v>
      </c>
      <c r="J38" s="304">
        <v>198.5</v>
      </c>
    </row>
    <row r="39" ht="14.25" customHeight="1">
      <c r="A39" s="406"/>
      <c r="B39" s="402"/>
      <c r="C39" s="313"/>
      <c r="D39" s="405"/>
      <c r="E39" s="390"/>
      <c r="F39" s="392"/>
      <c r="G39" s="392"/>
      <c r="H39" s="393"/>
      <c r="I39" s="304"/>
      <c r="J39" s="304"/>
    </row>
    <row r="40" ht="14.25" customHeight="1">
      <c r="A40" s="406"/>
      <c r="B40" s="402"/>
      <c r="C40" s="313"/>
      <c r="D40" s="405"/>
      <c r="E40" s="390"/>
      <c r="F40" s="392"/>
      <c r="G40" s="392"/>
      <c r="H40" s="393"/>
      <c r="I40" s="304"/>
      <c r="J40" s="304"/>
    </row>
    <row r="41" ht="14.25" customHeight="1">
      <c r="A41" s="388" t="s">
        <v>2489</v>
      </c>
      <c r="B41" s="388" t="s">
        <v>2490</v>
      </c>
      <c r="C41" s="410" t="s">
        <v>2555</v>
      </c>
      <c r="D41" s="410" t="s">
        <v>2556</v>
      </c>
      <c r="E41" s="410" t="s">
        <v>2557</v>
      </c>
      <c r="G41" s="313"/>
      <c r="H41" s="313"/>
      <c r="I41" s="390"/>
      <c r="J41" s="390"/>
      <c r="K41" s="132"/>
    </row>
    <row r="42" ht="14.25" customHeight="1">
      <c r="A42" s="411" t="s">
        <v>2558</v>
      </c>
      <c r="B42" s="412" t="s">
        <v>2559</v>
      </c>
      <c r="C42" s="413">
        <v>44775.0</v>
      </c>
      <c r="D42" s="414">
        <v>40.0</v>
      </c>
      <c r="E42" s="415">
        <f>520*40</f>
        <v>20800</v>
      </c>
      <c r="G42" s="17"/>
      <c r="H42" s="132"/>
      <c r="I42" s="132"/>
      <c r="J42" s="132"/>
      <c r="K42" s="132"/>
    </row>
    <row r="43" ht="14.25" customHeight="1">
      <c r="A43" s="411" t="s">
        <v>2560</v>
      </c>
      <c r="B43" s="412" t="s">
        <v>2561</v>
      </c>
      <c r="C43" s="413">
        <v>44714.0</v>
      </c>
      <c r="D43" s="414">
        <v>40.0</v>
      </c>
      <c r="E43" s="415">
        <f>280*40</f>
        <v>11200</v>
      </c>
      <c r="G43" s="132"/>
      <c r="H43" s="132"/>
      <c r="I43" s="132"/>
      <c r="J43" s="132"/>
      <c r="K43" s="132"/>
    </row>
    <row r="44" ht="14.25" customHeight="1">
      <c r="A44" s="411" t="s">
        <v>2562</v>
      </c>
      <c r="B44" s="416" t="s">
        <v>2563</v>
      </c>
      <c r="C44" s="414" t="s">
        <v>2564</v>
      </c>
      <c r="D44" s="414">
        <v>70.0</v>
      </c>
      <c r="E44" s="415">
        <f>55*70</f>
        <v>3850</v>
      </c>
      <c r="G44" s="132"/>
      <c r="H44" s="132"/>
      <c r="I44" s="132"/>
      <c r="J44" s="132"/>
      <c r="K44" s="132"/>
    </row>
    <row r="45" ht="14.25" customHeight="1">
      <c r="A45" s="417" t="s">
        <v>1810</v>
      </c>
      <c r="B45" s="418">
        <v>67522.0</v>
      </c>
      <c r="C45" s="419">
        <v>1878.0</v>
      </c>
      <c r="D45" s="420">
        <v>40.0</v>
      </c>
      <c r="E45" s="415">
        <f>67*40</f>
        <v>2680</v>
      </c>
      <c r="G45" s="132"/>
      <c r="H45" s="132"/>
      <c r="I45" s="132"/>
      <c r="J45" s="132"/>
      <c r="K45" s="132"/>
    </row>
    <row r="46" ht="14.25" customHeight="1">
      <c r="A46" s="417" t="s">
        <v>1567</v>
      </c>
      <c r="B46" s="418">
        <v>7178.0</v>
      </c>
      <c r="C46" s="421">
        <v>1964.0</v>
      </c>
      <c r="D46" s="420">
        <v>40.0</v>
      </c>
      <c r="E46" s="415">
        <f t="shared" ref="E46:E53" si="2">B46*40</f>
        <v>287120</v>
      </c>
      <c r="G46" s="132"/>
      <c r="H46" s="132"/>
      <c r="I46" s="132"/>
      <c r="J46" s="132"/>
      <c r="K46" s="132"/>
    </row>
    <row r="47" ht="14.25" customHeight="1">
      <c r="A47" s="417" t="s">
        <v>1713</v>
      </c>
      <c r="B47" s="422">
        <v>100169.0</v>
      </c>
      <c r="C47" s="419">
        <v>1841.0</v>
      </c>
      <c r="D47" s="420">
        <v>40.0</v>
      </c>
      <c r="E47" s="415">
        <f t="shared" si="2"/>
        <v>4006760</v>
      </c>
      <c r="G47" s="132"/>
      <c r="H47" s="132"/>
      <c r="I47" s="132"/>
      <c r="J47" s="132"/>
      <c r="K47" s="132"/>
    </row>
    <row r="48" ht="14.25" customHeight="1">
      <c r="A48" s="417" t="s">
        <v>1623</v>
      </c>
      <c r="B48" s="422">
        <v>33568.0</v>
      </c>
      <c r="C48" s="419">
        <v>1879.0</v>
      </c>
      <c r="D48" s="420">
        <v>40.0</v>
      </c>
      <c r="E48" s="415">
        <f t="shared" si="2"/>
        <v>1342720</v>
      </c>
      <c r="G48" s="132"/>
      <c r="H48" s="132"/>
      <c r="I48" s="132"/>
      <c r="J48" s="132"/>
      <c r="K48" s="132"/>
    </row>
    <row r="49" ht="14.25" customHeight="1">
      <c r="A49" s="417" t="s">
        <v>1698</v>
      </c>
      <c r="B49" s="422">
        <v>250444.0</v>
      </c>
      <c r="C49" s="419">
        <v>1940.0</v>
      </c>
      <c r="D49" s="420">
        <v>40.0</v>
      </c>
      <c r="E49" s="415">
        <f t="shared" si="2"/>
        <v>10017760</v>
      </c>
      <c r="G49" s="132"/>
      <c r="H49" s="132"/>
      <c r="I49" s="132"/>
      <c r="J49" s="132"/>
      <c r="K49" s="132"/>
    </row>
    <row r="50" ht="14.25" customHeight="1">
      <c r="A50" s="417" t="s">
        <v>1807</v>
      </c>
      <c r="B50" s="422">
        <v>190678.0</v>
      </c>
      <c r="C50" s="419">
        <v>1959.0</v>
      </c>
      <c r="D50" s="423">
        <v>40.0</v>
      </c>
      <c r="E50" s="415">
        <f t="shared" si="2"/>
        <v>7627120</v>
      </c>
      <c r="G50" s="132"/>
      <c r="H50" s="132"/>
      <c r="I50" s="132"/>
      <c r="J50" s="132"/>
      <c r="K50" s="132"/>
    </row>
    <row r="51" ht="14.25" customHeight="1">
      <c r="A51" s="417" t="s">
        <v>1376</v>
      </c>
      <c r="B51" s="422">
        <v>201317.0</v>
      </c>
      <c r="C51" s="419">
        <v>1881.0</v>
      </c>
      <c r="D51" s="419">
        <v>40.0</v>
      </c>
      <c r="E51" s="415">
        <f t="shared" si="2"/>
        <v>8052680</v>
      </c>
      <c r="G51" s="424"/>
      <c r="H51" s="424"/>
      <c r="I51" s="425"/>
      <c r="J51" s="132"/>
      <c r="K51" s="132"/>
    </row>
    <row r="52" ht="14.25" customHeight="1">
      <c r="A52" s="426" t="s">
        <v>1623</v>
      </c>
      <c r="B52" s="422">
        <v>17684.0</v>
      </c>
      <c r="C52" s="419">
        <v>1823.0</v>
      </c>
      <c r="D52" s="419">
        <v>40.0</v>
      </c>
      <c r="E52" s="415">
        <f t="shared" si="2"/>
        <v>707360</v>
      </c>
      <c r="G52" s="427"/>
      <c r="H52" s="427"/>
      <c r="I52" s="425"/>
      <c r="J52" s="132"/>
      <c r="K52" s="132"/>
    </row>
    <row r="53" ht="14.25" customHeight="1">
      <c r="A53" s="411" t="s">
        <v>1804</v>
      </c>
      <c r="B53" s="428">
        <v>3648.0</v>
      </c>
      <c r="C53" s="429">
        <v>4090.0</v>
      </c>
      <c r="D53" s="419">
        <v>40.0</v>
      </c>
      <c r="E53" s="415">
        <f t="shared" si="2"/>
        <v>145920</v>
      </c>
      <c r="G53" s="424"/>
      <c r="H53" s="424"/>
      <c r="I53" s="425"/>
      <c r="J53" s="132"/>
      <c r="K53" s="132"/>
    </row>
    <row r="54" ht="14.25" customHeight="1">
      <c r="A54" s="430" t="s">
        <v>1431</v>
      </c>
      <c r="B54" s="431">
        <v>204931.0</v>
      </c>
      <c r="C54" s="432">
        <v>1006.0</v>
      </c>
      <c r="D54" s="433" t="s">
        <v>1905</v>
      </c>
      <c r="E54" s="434"/>
      <c r="G54" s="427"/>
      <c r="H54" s="427"/>
      <c r="I54" s="425"/>
      <c r="J54" s="132"/>
      <c r="K54" s="132"/>
    </row>
    <row r="55" ht="14.25" customHeight="1">
      <c r="A55" s="430" t="s">
        <v>1667</v>
      </c>
      <c r="B55" s="435">
        <v>16307.0</v>
      </c>
      <c r="C55" s="436">
        <v>2190.0</v>
      </c>
      <c r="D55" s="433" t="s">
        <v>1905</v>
      </c>
      <c r="E55" s="437"/>
      <c r="G55" s="427"/>
      <c r="H55" s="427"/>
      <c r="I55" s="425"/>
      <c r="J55" s="132"/>
      <c r="K55" s="132"/>
    </row>
    <row r="56" ht="14.25" customHeight="1">
      <c r="A56" s="430" t="s">
        <v>1620</v>
      </c>
      <c r="B56" s="435">
        <v>1674.0</v>
      </c>
      <c r="C56" s="433">
        <v>1908.0</v>
      </c>
      <c r="D56" s="433" t="s">
        <v>1905</v>
      </c>
      <c r="E56" s="438"/>
      <c r="G56" s="427"/>
      <c r="H56" s="427"/>
      <c r="I56" s="425"/>
      <c r="J56" s="132"/>
      <c r="K56" s="132"/>
    </row>
    <row r="57" ht="14.25" customHeight="1">
      <c r="A57" s="439" t="s">
        <v>1630</v>
      </c>
      <c r="B57" s="440">
        <v>7700.0</v>
      </c>
      <c r="C57" s="441">
        <v>1262.0</v>
      </c>
      <c r="D57" s="442" t="s">
        <v>1905</v>
      </c>
      <c r="E57" s="427"/>
      <c r="G57" s="427"/>
      <c r="H57" s="427"/>
      <c r="I57" s="425"/>
      <c r="J57" s="132"/>
      <c r="K57" s="132"/>
    </row>
    <row r="58" ht="14.25" customHeight="1">
      <c r="A58" s="430" t="s">
        <v>1603</v>
      </c>
      <c r="B58" s="435">
        <v>11277.0</v>
      </c>
      <c r="C58" s="433">
        <v>2056.0</v>
      </c>
      <c r="D58" s="433" t="s">
        <v>1905</v>
      </c>
      <c r="E58" s="438"/>
      <c r="G58" s="424"/>
      <c r="H58" s="424"/>
      <c r="I58" s="425"/>
      <c r="J58" s="132"/>
      <c r="K58" s="132"/>
    </row>
    <row r="59" ht="14.25" customHeight="1">
      <c r="A59" s="430" t="s">
        <v>1634</v>
      </c>
      <c r="B59" s="435">
        <v>17731.0</v>
      </c>
      <c r="C59" s="433">
        <v>2028.0</v>
      </c>
      <c r="D59" s="433" t="s">
        <v>1905</v>
      </c>
      <c r="E59" s="437"/>
      <c r="G59" s="427"/>
      <c r="H59" s="427"/>
      <c r="I59" s="425"/>
      <c r="J59" s="132"/>
      <c r="K59" s="132"/>
    </row>
    <row r="60" ht="14.25" customHeight="1">
      <c r="A60" s="430" t="s">
        <v>1711</v>
      </c>
      <c r="B60" s="431">
        <v>2083.0</v>
      </c>
      <c r="C60" s="432">
        <v>1420.0</v>
      </c>
      <c r="D60" s="433" t="s">
        <v>1905</v>
      </c>
      <c r="E60" s="437"/>
      <c r="G60" s="427"/>
      <c r="H60" s="427"/>
      <c r="I60" s="425"/>
      <c r="J60" s="132"/>
      <c r="K60" s="132"/>
    </row>
    <row r="61" ht="14.25" customHeight="1">
      <c r="A61" s="443" t="s">
        <v>1545</v>
      </c>
      <c r="B61" s="440">
        <v>37950.0</v>
      </c>
      <c r="C61" s="441">
        <v>1222.0</v>
      </c>
      <c r="D61" s="442" t="s">
        <v>1905</v>
      </c>
      <c r="E61" s="427"/>
      <c r="G61" s="427"/>
      <c r="H61" s="427"/>
      <c r="I61" s="425"/>
    </row>
    <row r="62" ht="14.25" customHeight="1">
      <c r="A62" s="443" t="s">
        <v>1556</v>
      </c>
      <c r="B62" s="440">
        <v>-15107.0</v>
      </c>
      <c r="C62" s="441">
        <v>1125.0</v>
      </c>
      <c r="D62" s="442" t="s">
        <v>1905</v>
      </c>
    </row>
    <row r="63" ht="14.25" customHeight="1">
      <c r="A63" s="443" t="s">
        <v>1923</v>
      </c>
      <c r="B63" s="440">
        <v>12315.0</v>
      </c>
      <c r="C63" s="441">
        <v>1223.0</v>
      </c>
      <c r="D63" s="442" t="s">
        <v>1905</v>
      </c>
    </row>
    <row r="64" ht="14.25" customHeight="1">
      <c r="A64" s="444" t="s">
        <v>1788</v>
      </c>
      <c r="B64" s="445">
        <v>4794.0</v>
      </c>
      <c r="C64" s="442">
        <v>1872.0</v>
      </c>
      <c r="D64" s="442" t="s">
        <v>1905</v>
      </c>
    </row>
    <row r="65" ht="14.25" customHeight="1">
      <c r="A65" s="446" t="s">
        <v>1788</v>
      </c>
      <c r="B65" s="445">
        <v>14670.0</v>
      </c>
      <c r="C65" s="442">
        <v>1887.0</v>
      </c>
      <c r="D65" s="442" t="s">
        <v>1905</v>
      </c>
    </row>
    <row r="66" ht="14.25" customHeight="1">
      <c r="A66" s="444" t="s">
        <v>1539</v>
      </c>
      <c r="B66" s="445">
        <v>8310.0</v>
      </c>
      <c r="C66" s="442">
        <v>1565.0</v>
      </c>
      <c r="D66" s="442" t="s">
        <v>1905</v>
      </c>
    </row>
    <row r="67" ht="14.25" customHeight="1">
      <c r="A67" s="447" t="s">
        <v>1627</v>
      </c>
      <c r="B67" s="435">
        <v>7984.0</v>
      </c>
      <c r="C67" s="433">
        <v>1828.0</v>
      </c>
      <c r="D67" s="433" t="s">
        <v>1905</v>
      </c>
      <c r="E67" s="438"/>
    </row>
    <row r="68" ht="14.25" customHeight="1">
      <c r="A68" s="444" t="s">
        <v>1843</v>
      </c>
      <c r="B68" s="445">
        <v>10495.0</v>
      </c>
      <c r="C68" s="442">
        <v>1810.0</v>
      </c>
      <c r="D68" s="442" t="s">
        <v>1905</v>
      </c>
    </row>
    <row r="69" ht="14.25" customHeight="1">
      <c r="A69" s="444" t="s">
        <v>2565</v>
      </c>
      <c r="B69" s="445">
        <v>37862.0</v>
      </c>
      <c r="C69" s="442">
        <v>1989.0</v>
      </c>
      <c r="D69" s="442" t="s">
        <v>1905</v>
      </c>
    </row>
    <row r="70" ht="14.25" customHeight="1">
      <c r="A70" s="443" t="s">
        <v>1758</v>
      </c>
      <c r="B70" s="440">
        <v>12359.0</v>
      </c>
      <c r="C70" s="441">
        <v>1228.0</v>
      </c>
      <c r="D70" s="442" t="s">
        <v>1905</v>
      </c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86"/>
    <col customWidth="1" min="3" max="3" width="27.71"/>
    <col customWidth="1" min="4" max="4" width="15.29"/>
    <col customWidth="1" min="5" max="5" width="17.71"/>
    <col customWidth="1" min="6" max="6" width="17.0"/>
    <col customWidth="1" min="7" max="26" width="10.71"/>
  </cols>
  <sheetData>
    <row r="1" ht="14.25" customHeight="1"/>
    <row r="2" ht="14.25" customHeight="1"/>
    <row r="3" ht="14.25" customHeight="1"/>
    <row r="4" ht="14.25" customHeight="1"/>
    <row r="5" ht="14.25" customHeight="1">
      <c r="A5" s="388" t="s">
        <v>2566</v>
      </c>
      <c r="B5" s="388" t="s">
        <v>2567</v>
      </c>
      <c r="C5" s="388" t="s">
        <v>2267</v>
      </c>
      <c r="D5" s="388" t="s">
        <v>2568</v>
      </c>
      <c r="E5" s="388" t="s">
        <v>2271</v>
      </c>
      <c r="F5" s="388" t="s">
        <v>2569</v>
      </c>
    </row>
    <row r="6" ht="14.25" customHeight="1">
      <c r="F6" s="213"/>
    </row>
    <row r="7" ht="14.25" customHeight="1">
      <c r="A7" s="68" t="s">
        <v>40</v>
      </c>
      <c r="B7" s="68" t="s">
        <v>2570</v>
      </c>
      <c r="C7" s="388" t="s">
        <v>2571</v>
      </c>
      <c r="D7" s="68" t="s">
        <v>2572</v>
      </c>
      <c r="E7" s="68" t="s">
        <v>2573</v>
      </c>
      <c r="F7" s="215" t="s">
        <v>2574</v>
      </c>
    </row>
    <row r="8" ht="14.25" customHeight="1">
      <c r="C8" s="68"/>
      <c r="D8" s="68"/>
      <c r="E8" s="68"/>
      <c r="F8" s="213"/>
    </row>
    <row r="9" ht="14.25" customHeight="1">
      <c r="A9" s="68" t="s">
        <v>40</v>
      </c>
      <c r="B9" s="68" t="s">
        <v>2575</v>
      </c>
      <c r="C9" s="388" t="s">
        <v>2576</v>
      </c>
      <c r="D9" s="68" t="s">
        <v>2577</v>
      </c>
      <c r="E9" s="68" t="s">
        <v>2578</v>
      </c>
      <c r="F9" s="215" t="s">
        <v>2579</v>
      </c>
      <c r="H9" s="448" t="s">
        <v>2580</v>
      </c>
      <c r="I9" s="449" t="s">
        <v>2581</v>
      </c>
    </row>
    <row r="10" ht="14.25" customHeight="1">
      <c r="F10" s="213"/>
    </row>
    <row r="11" ht="14.25" customHeight="1">
      <c r="A11" s="68" t="s">
        <v>40</v>
      </c>
      <c r="B11" s="68" t="s">
        <v>2582</v>
      </c>
      <c r="C11" s="388" t="s">
        <v>2583</v>
      </c>
      <c r="D11" s="68" t="s">
        <v>2572</v>
      </c>
      <c r="E11" s="68" t="s">
        <v>2584</v>
      </c>
      <c r="F11" s="215" t="s">
        <v>2574</v>
      </c>
    </row>
    <row r="12" ht="14.25" customHeight="1">
      <c r="F12" s="213"/>
    </row>
    <row r="13" ht="14.25" customHeight="1">
      <c r="A13" s="68" t="s">
        <v>40</v>
      </c>
      <c r="B13" s="68" t="s">
        <v>2585</v>
      </c>
      <c r="C13" s="450" t="s">
        <v>2586</v>
      </c>
      <c r="D13" s="68" t="s">
        <v>2587</v>
      </c>
      <c r="E13" s="68" t="s">
        <v>2584</v>
      </c>
      <c r="F13" s="215" t="s">
        <v>2579</v>
      </c>
    </row>
    <row r="14" ht="14.25" customHeight="1">
      <c r="F14" s="213"/>
    </row>
    <row r="15" ht="14.25" customHeight="1">
      <c r="A15" s="68" t="s">
        <v>40</v>
      </c>
      <c r="B15" s="68" t="s">
        <v>2588</v>
      </c>
      <c r="C15" s="451" t="s">
        <v>2589</v>
      </c>
      <c r="D15" s="68" t="s">
        <v>2587</v>
      </c>
      <c r="E15" s="68" t="s">
        <v>2584</v>
      </c>
      <c r="F15" s="215" t="s">
        <v>2579</v>
      </c>
    </row>
    <row r="16" ht="14.25" customHeight="1">
      <c r="F16" s="213"/>
    </row>
    <row r="17" ht="14.25" customHeight="1">
      <c r="A17" s="68" t="s">
        <v>40</v>
      </c>
      <c r="B17" s="68" t="s">
        <v>2590</v>
      </c>
      <c r="C17" s="451" t="s">
        <v>2591</v>
      </c>
      <c r="D17" s="68" t="s">
        <v>2592</v>
      </c>
      <c r="E17" s="68" t="s">
        <v>2578</v>
      </c>
      <c r="F17" s="215" t="s">
        <v>2593</v>
      </c>
    </row>
    <row r="18" ht="14.25" customHeight="1">
      <c r="C18" s="68"/>
      <c r="F18" s="213"/>
    </row>
    <row r="19" ht="14.25" customHeight="1">
      <c r="A19" s="68" t="s">
        <v>40</v>
      </c>
      <c r="B19" s="68" t="s">
        <v>2594</v>
      </c>
      <c r="C19" s="388" t="s">
        <v>2595</v>
      </c>
      <c r="D19" s="68" t="s">
        <v>2596</v>
      </c>
      <c r="E19" s="68" t="s">
        <v>2597</v>
      </c>
      <c r="F19" s="215" t="s">
        <v>2598</v>
      </c>
    </row>
    <row r="20" ht="14.25" customHeight="1">
      <c r="F20" s="213"/>
    </row>
    <row r="21" ht="14.25" customHeight="1">
      <c r="A21" s="68" t="s">
        <v>40</v>
      </c>
      <c r="B21" s="68" t="s">
        <v>2599</v>
      </c>
      <c r="C21" s="388" t="s">
        <v>2600</v>
      </c>
      <c r="D21" s="68" t="s">
        <v>2601</v>
      </c>
      <c r="E21" s="68" t="s">
        <v>2602</v>
      </c>
      <c r="F21" s="215" t="s">
        <v>2593</v>
      </c>
    </row>
    <row r="22" ht="14.25" customHeight="1">
      <c r="C22" s="68"/>
      <c r="F22" s="213"/>
    </row>
    <row r="23" ht="14.25" customHeight="1">
      <c r="A23" s="68" t="s">
        <v>40</v>
      </c>
      <c r="B23" s="68" t="s">
        <v>2599</v>
      </c>
      <c r="C23" s="388" t="s">
        <v>2600</v>
      </c>
      <c r="D23" s="68" t="s">
        <v>2601</v>
      </c>
      <c r="E23" s="68" t="s">
        <v>2603</v>
      </c>
      <c r="F23" s="215" t="s">
        <v>2593</v>
      </c>
    </row>
    <row r="24" ht="14.25" customHeight="1">
      <c r="F24" s="213"/>
    </row>
    <row r="25" ht="14.25" customHeight="1">
      <c r="A25" s="68" t="s">
        <v>40</v>
      </c>
      <c r="B25" s="68" t="s">
        <v>2604</v>
      </c>
      <c r="C25" s="452" t="s">
        <v>2605</v>
      </c>
      <c r="D25" s="68" t="s">
        <v>2606</v>
      </c>
      <c r="E25" s="68" t="s">
        <v>2607</v>
      </c>
      <c r="F25" s="215" t="s">
        <v>2593</v>
      </c>
    </row>
    <row r="26" ht="14.25" customHeight="1">
      <c r="F26" s="213"/>
    </row>
    <row r="27" ht="14.25" customHeight="1">
      <c r="A27" s="68" t="s">
        <v>40</v>
      </c>
      <c r="B27" s="68" t="s">
        <v>2608</v>
      </c>
      <c r="C27" s="452" t="s">
        <v>2609</v>
      </c>
      <c r="D27" s="68" t="s">
        <v>2610</v>
      </c>
      <c r="E27" s="68" t="s">
        <v>2578</v>
      </c>
      <c r="F27" s="215" t="s">
        <v>2598</v>
      </c>
    </row>
    <row r="28" ht="14.25" customHeight="1">
      <c r="F28" s="213"/>
    </row>
    <row r="29" ht="14.25" customHeight="1">
      <c r="A29" s="68" t="s">
        <v>40</v>
      </c>
      <c r="B29" s="68" t="s">
        <v>2611</v>
      </c>
      <c r="C29" s="388" t="s">
        <v>2612</v>
      </c>
      <c r="D29" s="68" t="s">
        <v>2606</v>
      </c>
      <c r="E29" s="68" t="s">
        <v>2597</v>
      </c>
      <c r="F29" s="215" t="s">
        <v>2598</v>
      </c>
    </row>
    <row r="30" ht="14.25" customHeight="1">
      <c r="F30" s="213"/>
    </row>
    <row r="31" ht="14.25" customHeight="1">
      <c r="A31" s="68" t="s">
        <v>40</v>
      </c>
      <c r="B31" s="68" t="s">
        <v>2613</v>
      </c>
      <c r="C31" s="388" t="s">
        <v>2614</v>
      </c>
      <c r="D31" s="68" t="s">
        <v>2615</v>
      </c>
      <c r="E31" s="68" t="s">
        <v>2603</v>
      </c>
      <c r="F31" s="215" t="s">
        <v>2593</v>
      </c>
    </row>
    <row r="32" ht="14.25" customHeight="1">
      <c r="F32" s="213"/>
    </row>
    <row r="33" ht="14.25" customHeight="1">
      <c r="A33" s="68" t="s">
        <v>40</v>
      </c>
      <c r="B33" s="68" t="s">
        <v>2616</v>
      </c>
      <c r="C33" s="388" t="s">
        <v>2617</v>
      </c>
      <c r="D33" s="68" t="s">
        <v>2618</v>
      </c>
      <c r="E33" s="68" t="s">
        <v>2619</v>
      </c>
      <c r="F33" s="215" t="s">
        <v>2598</v>
      </c>
    </row>
    <row r="34" ht="14.25" customHeight="1">
      <c r="F34" s="213"/>
    </row>
    <row r="35" ht="14.25" customHeight="1">
      <c r="A35" s="68" t="s">
        <v>40</v>
      </c>
      <c r="B35" s="68" t="s">
        <v>2620</v>
      </c>
      <c r="C35" s="388" t="s">
        <v>2617</v>
      </c>
      <c r="D35" s="68" t="s">
        <v>2618</v>
      </c>
      <c r="E35" s="68" t="s">
        <v>2621</v>
      </c>
      <c r="F35" s="215" t="s">
        <v>2622</v>
      </c>
    </row>
    <row r="36" ht="14.25" customHeight="1">
      <c r="F36" s="213"/>
    </row>
    <row r="37" ht="14.25" customHeight="1">
      <c r="A37" s="68" t="s">
        <v>40</v>
      </c>
      <c r="B37" s="68" t="s">
        <v>2623</v>
      </c>
      <c r="C37" s="388" t="s">
        <v>2624</v>
      </c>
      <c r="D37" s="68" t="s">
        <v>2625</v>
      </c>
      <c r="E37" s="68" t="s">
        <v>2584</v>
      </c>
      <c r="F37" s="215" t="s">
        <v>2579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25"/>
    <hyperlink r:id="rId2" ref="C27"/>
  </hyperlinks>
  <printOptions/>
  <pageMargins bottom="0.75" footer="0.0" header="0.0" left="0.7" right="0.7" top="0.75"/>
  <pageSetup orientation="landscape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25.71"/>
    <col customWidth="1" min="3" max="3" width="24.71"/>
    <col customWidth="1" min="4" max="4" width="17.57"/>
    <col customWidth="1" min="5" max="5" width="19.43"/>
    <col customWidth="1" min="8" max="8" width="17.57"/>
    <col customWidth="1" min="9" max="9" width="84.14"/>
    <col customWidth="1" min="10" max="10" width="90.14"/>
  </cols>
  <sheetData>
    <row r="1">
      <c r="A1" s="453" t="s">
        <v>2626</v>
      </c>
      <c r="B1" s="454" t="s">
        <v>2627</v>
      </c>
      <c r="C1" s="454" t="s">
        <v>2628</v>
      </c>
      <c r="D1" s="454" t="s">
        <v>1993</v>
      </c>
      <c r="E1" s="454" t="s">
        <v>2629</v>
      </c>
      <c r="F1" s="454" t="s">
        <v>2630</v>
      </c>
      <c r="G1" s="454" t="s">
        <v>2631</v>
      </c>
      <c r="H1" s="454" t="s">
        <v>2632</v>
      </c>
      <c r="I1" s="455" t="s">
        <v>2633</v>
      </c>
      <c r="J1" s="455" t="s">
        <v>2634</v>
      </c>
    </row>
    <row r="2">
      <c r="A2" s="456" t="s">
        <v>89</v>
      </c>
      <c r="B2" s="457" t="s">
        <v>2320</v>
      </c>
      <c r="C2" s="458" t="s">
        <v>2635</v>
      </c>
      <c r="D2" s="459" t="s">
        <v>2636</v>
      </c>
      <c r="E2" s="459" t="s">
        <v>2637</v>
      </c>
      <c r="F2" s="459" t="s">
        <v>87</v>
      </c>
      <c r="G2" s="459" t="s">
        <v>2638</v>
      </c>
      <c r="H2" s="460">
        <v>44118.0</v>
      </c>
      <c r="I2" s="461" t="s">
        <v>2639</v>
      </c>
      <c r="J2" s="462" t="s">
        <v>2640</v>
      </c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438"/>
    </row>
    <row r="3" ht="13.5" customHeight="1">
      <c r="A3" s="463" t="s">
        <v>107</v>
      </c>
      <c r="B3" s="457" t="s">
        <v>2306</v>
      </c>
      <c r="C3" s="464" t="s">
        <v>2641</v>
      </c>
      <c r="D3" s="459" t="s">
        <v>2636</v>
      </c>
      <c r="E3" s="459" t="s">
        <v>2642</v>
      </c>
      <c r="F3" s="459" t="s">
        <v>384</v>
      </c>
      <c r="G3" s="459" t="s">
        <v>2638</v>
      </c>
      <c r="H3" s="460">
        <v>44188.0</v>
      </c>
      <c r="I3" s="465"/>
      <c r="J3" s="465"/>
      <c r="K3" s="438"/>
      <c r="L3" s="438"/>
      <c r="M3" s="438"/>
      <c r="N3" s="438"/>
      <c r="O3" s="438"/>
      <c r="P3" s="438"/>
      <c r="Q3" s="438"/>
      <c r="R3" s="438"/>
      <c r="S3" s="438"/>
      <c r="T3" s="438"/>
      <c r="U3" s="438"/>
      <c r="V3" s="438"/>
      <c r="W3" s="438"/>
      <c r="X3" s="438"/>
      <c r="Y3" s="438"/>
      <c r="Z3" s="438"/>
      <c r="AA3" s="438"/>
    </row>
    <row r="4">
      <c r="A4" s="456" t="s">
        <v>739</v>
      </c>
      <c r="B4" s="457" t="s">
        <v>400</v>
      </c>
      <c r="C4" s="464" t="s">
        <v>2643</v>
      </c>
      <c r="D4" s="459" t="s">
        <v>2636</v>
      </c>
      <c r="E4" s="459" t="s">
        <v>2644</v>
      </c>
      <c r="F4" s="459" t="s">
        <v>399</v>
      </c>
      <c r="G4" s="459" t="s">
        <v>2645</v>
      </c>
      <c r="H4" s="460">
        <v>44188.0</v>
      </c>
      <c r="I4" s="461" t="s">
        <v>2639</v>
      </c>
      <c r="J4" s="465"/>
      <c r="K4" s="438"/>
      <c r="L4" s="438"/>
      <c r="M4" s="438"/>
      <c r="N4" s="438"/>
      <c r="O4" s="438"/>
      <c r="P4" s="438"/>
      <c r="Q4" s="438"/>
      <c r="R4" s="438"/>
      <c r="S4" s="438"/>
      <c r="T4" s="438"/>
      <c r="U4" s="438"/>
      <c r="V4" s="438"/>
      <c r="W4" s="438"/>
      <c r="X4" s="438"/>
      <c r="Y4" s="438"/>
      <c r="Z4" s="438"/>
      <c r="AA4" s="438"/>
    </row>
    <row r="5">
      <c r="A5" s="8" t="s">
        <v>168</v>
      </c>
      <c r="B5" s="457" t="s">
        <v>2646</v>
      </c>
      <c r="C5" s="459" t="s">
        <v>2647</v>
      </c>
      <c r="D5" s="459" t="s">
        <v>2636</v>
      </c>
      <c r="E5" s="459" t="s">
        <v>2644</v>
      </c>
      <c r="F5" s="459" t="s">
        <v>167</v>
      </c>
      <c r="G5" s="459" t="s">
        <v>2638</v>
      </c>
      <c r="H5" s="466">
        <v>44137.0</v>
      </c>
      <c r="I5" s="461" t="s">
        <v>2639</v>
      </c>
      <c r="J5" s="465"/>
      <c r="K5" s="438"/>
      <c r="L5" s="438"/>
      <c r="M5" s="438"/>
      <c r="N5" s="438"/>
      <c r="O5" s="438"/>
      <c r="P5" s="438"/>
      <c r="Q5" s="438"/>
      <c r="R5" s="438"/>
      <c r="S5" s="438"/>
      <c r="T5" s="438"/>
      <c r="U5" s="438"/>
      <c r="V5" s="438"/>
      <c r="W5" s="438"/>
      <c r="X5" s="438"/>
      <c r="Y5" s="438"/>
      <c r="Z5" s="438"/>
      <c r="AA5" s="438"/>
    </row>
    <row r="6">
      <c r="A6" s="463" t="s">
        <v>107</v>
      </c>
      <c r="B6" s="467" t="s">
        <v>2306</v>
      </c>
      <c r="C6" s="468" t="s">
        <v>385</v>
      </c>
      <c r="D6" s="459" t="s">
        <v>2636</v>
      </c>
      <c r="E6" s="459" t="s">
        <v>2642</v>
      </c>
      <c r="F6" s="459" t="s">
        <v>384</v>
      </c>
      <c r="G6" s="469" t="s">
        <v>2638</v>
      </c>
      <c r="H6" s="466">
        <v>44260.0</v>
      </c>
      <c r="I6" s="461" t="s">
        <v>2639</v>
      </c>
      <c r="J6" s="465"/>
      <c r="K6" s="438"/>
      <c r="L6" s="438"/>
      <c r="M6" s="438"/>
      <c r="N6" s="438"/>
      <c r="O6" s="438"/>
      <c r="P6" s="438"/>
      <c r="Q6" s="438"/>
      <c r="R6" s="438"/>
      <c r="S6" s="438"/>
      <c r="T6" s="438"/>
      <c r="U6" s="438"/>
      <c r="V6" s="438"/>
      <c r="W6" s="438"/>
      <c r="X6" s="438"/>
      <c r="Y6" s="438"/>
      <c r="Z6" s="438"/>
      <c r="AA6" s="438"/>
    </row>
    <row r="7">
      <c r="A7" s="463" t="s">
        <v>1859</v>
      </c>
      <c r="B7" s="467" t="s">
        <v>422</v>
      </c>
      <c r="C7" s="458" t="s">
        <v>2647</v>
      </c>
      <c r="D7" s="459" t="s">
        <v>2636</v>
      </c>
      <c r="E7" s="459" t="s">
        <v>2642</v>
      </c>
      <c r="F7" s="459" t="s">
        <v>421</v>
      </c>
      <c r="G7" s="469" t="s">
        <v>2638</v>
      </c>
      <c r="H7" s="466">
        <v>44260.0</v>
      </c>
      <c r="I7" s="461" t="s">
        <v>2639</v>
      </c>
      <c r="J7" s="465" t="s">
        <v>2648</v>
      </c>
      <c r="K7" s="438"/>
      <c r="L7" s="438"/>
      <c r="M7" s="438"/>
      <c r="N7" s="438"/>
      <c r="O7" s="438"/>
      <c r="P7" s="438"/>
      <c r="Q7" s="438"/>
      <c r="R7" s="438"/>
      <c r="S7" s="438"/>
      <c r="T7" s="438"/>
      <c r="U7" s="438"/>
      <c r="V7" s="438"/>
      <c r="W7" s="438"/>
      <c r="X7" s="438"/>
      <c r="Y7" s="438"/>
      <c r="Z7" s="438"/>
      <c r="AA7" s="438"/>
    </row>
    <row r="8">
      <c r="A8" s="463" t="s">
        <v>124</v>
      </c>
      <c r="B8" s="467" t="s">
        <v>2494</v>
      </c>
      <c r="C8" s="438"/>
      <c r="D8" s="459" t="s">
        <v>2636</v>
      </c>
      <c r="E8" s="459" t="s">
        <v>2649</v>
      </c>
      <c r="F8" s="459" t="s">
        <v>123</v>
      </c>
      <c r="G8" s="469" t="s">
        <v>2650</v>
      </c>
      <c r="H8" s="466">
        <v>44258.0</v>
      </c>
      <c r="I8" s="461" t="s">
        <v>2651</v>
      </c>
      <c r="J8" s="465"/>
      <c r="K8" s="438"/>
      <c r="L8" s="438"/>
      <c r="M8" s="438"/>
      <c r="N8" s="438"/>
      <c r="O8" s="438"/>
      <c r="P8" s="438"/>
      <c r="Q8" s="438"/>
      <c r="R8" s="438"/>
      <c r="S8" s="438"/>
      <c r="T8" s="438"/>
      <c r="U8" s="438"/>
      <c r="V8" s="438"/>
      <c r="W8" s="438"/>
      <c r="X8" s="438"/>
      <c r="Y8" s="438"/>
      <c r="Z8" s="438"/>
      <c r="AA8" s="438"/>
    </row>
    <row r="9">
      <c r="A9" s="470" t="s">
        <v>2322</v>
      </c>
      <c r="B9" s="471" t="s">
        <v>2323</v>
      </c>
      <c r="C9" s="472" t="s">
        <v>67</v>
      </c>
      <c r="D9" s="473" t="s">
        <v>2636</v>
      </c>
      <c r="E9" s="473" t="s">
        <v>2652</v>
      </c>
      <c r="F9" s="473" t="s">
        <v>65</v>
      </c>
      <c r="G9" s="474" t="s">
        <v>2650</v>
      </c>
      <c r="H9" s="475">
        <v>44267.0</v>
      </c>
      <c r="I9" s="476"/>
      <c r="J9" s="477" t="s">
        <v>2653</v>
      </c>
    </row>
    <row r="10">
      <c r="A10" s="463" t="s">
        <v>428</v>
      </c>
      <c r="B10" s="467" t="s">
        <v>2654</v>
      </c>
      <c r="C10" s="458" t="s">
        <v>2647</v>
      </c>
      <c r="D10" s="459" t="s">
        <v>2636</v>
      </c>
      <c r="E10" s="478" t="s">
        <v>2655</v>
      </c>
      <c r="F10" s="459" t="s">
        <v>427</v>
      </c>
      <c r="G10" s="469" t="s">
        <v>2650</v>
      </c>
      <c r="H10" s="466">
        <v>44257.0</v>
      </c>
      <c r="I10" s="461" t="s">
        <v>2656</v>
      </c>
      <c r="J10" s="465"/>
      <c r="K10" s="438"/>
      <c r="L10" s="438"/>
      <c r="M10" s="438"/>
      <c r="N10" s="438"/>
      <c r="O10" s="438"/>
      <c r="P10" s="438"/>
      <c r="Q10" s="438"/>
      <c r="R10" s="438"/>
      <c r="S10" s="438"/>
      <c r="T10" s="438"/>
      <c r="U10" s="438"/>
      <c r="V10" s="438"/>
      <c r="W10" s="438"/>
      <c r="X10" s="438"/>
      <c r="Y10" s="438"/>
      <c r="Z10" s="438"/>
      <c r="AA10" s="438"/>
    </row>
    <row r="11">
      <c r="A11" s="470" t="s">
        <v>96</v>
      </c>
      <c r="B11" s="471" t="s">
        <v>2646</v>
      </c>
      <c r="C11" s="479" t="s">
        <v>2647</v>
      </c>
      <c r="D11" s="473" t="s">
        <v>2636</v>
      </c>
      <c r="E11" s="480" t="s">
        <v>2644</v>
      </c>
      <c r="F11" s="473" t="s">
        <v>95</v>
      </c>
      <c r="G11" s="474" t="s">
        <v>2650</v>
      </c>
      <c r="H11" s="475">
        <v>44267.0</v>
      </c>
      <c r="I11" s="476"/>
      <c r="J11" s="481" t="s">
        <v>2657</v>
      </c>
    </row>
    <row r="12">
      <c r="A12" s="463" t="s">
        <v>2328</v>
      </c>
      <c r="B12" s="467" t="s">
        <v>1388</v>
      </c>
      <c r="C12" s="458" t="s">
        <v>2647</v>
      </c>
      <c r="D12" s="459" t="s">
        <v>2636</v>
      </c>
      <c r="E12" s="459" t="s">
        <v>2658</v>
      </c>
      <c r="F12" s="459" t="s">
        <v>151</v>
      </c>
      <c r="G12" s="469" t="s">
        <v>2650</v>
      </c>
      <c r="H12" s="466">
        <v>44267.0</v>
      </c>
      <c r="I12" s="461" t="s">
        <v>2659</v>
      </c>
      <c r="J12" s="465"/>
      <c r="K12" s="438"/>
      <c r="L12" s="438"/>
      <c r="M12" s="438"/>
      <c r="N12" s="438"/>
      <c r="O12" s="438"/>
      <c r="P12" s="438"/>
      <c r="Q12" s="438"/>
      <c r="R12" s="438"/>
      <c r="S12" s="438"/>
      <c r="T12" s="438"/>
      <c r="U12" s="438"/>
      <c r="V12" s="438"/>
      <c r="W12" s="438"/>
      <c r="X12" s="438"/>
      <c r="Y12" s="438"/>
      <c r="Z12" s="438"/>
      <c r="AA12" s="438"/>
    </row>
    <row r="13">
      <c r="A13" s="482" t="s">
        <v>107</v>
      </c>
      <c r="B13" s="471" t="s">
        <v>2306</v>
      </c>
      <c r="C13" s="472" t="s">
        <v>108</v>
      </c>
      <c r="D13" s="473" t="s">
        <v>2636</v>
      </c>
      <c r="E13" s="473" t="s">
        <v>2642</v>
      </c>
      <c r="F13" s="473" t="s">
        <v>106</v>
      </c>
      <c r="G13" s="474" t="s">
        <v>2650</v>
      </c>
      <c r="H13" s="475">
        <v>44280.0</v>
      </c>
      <c r="I13" s="476"/>
      <c r="J13" s="481" t="s">
        <v>2660</v>
      </c>
    </row>
    <row r="14">
      <c r="A14" s="463" t="s">
        <v>2661</v>
      </c>
      <c r="B14" s="467" t="s">
        <v>2662</v>
      </c>
      <c r="C14" s="483" t="s">
        <v>450</v>
      </c>
      <c r="D14" s="459" t="s">
        <v>2636</v>
      </c>
      <c r="E14" s="484" t="s">
        <v>2644</v>
      </c>
      <c r="F14" s="459" t="s">
        <v>448</v>
      </c>
      <c r="G14" s="469" t="s">
        <v>2663</v>
      </c>
      <c r="H14" s="466">
        <v>44280.0</v>
      </c>
      <c r="I14" s="461" t="s">
        <v>2664</v>
      </c>
      <c r="J14" s="465"/>
      <c r="K14" s="438"/>
      <c r="L14" s="438"/>
      <c r="M14" s="438"/>
      <c r="N14" s="438"/>
      <c r="O14" s="438"/>
      <c r="P14" s="438"/>
      <c r="Q14" s="438"/>
      <c r="R14" s="438"/>
      <c r="S14" s="438"/>
      <c r="T14" s="438"/>
      <c r="U14" s="438"/>
      <c r="V14" s="438"/>
      <c r="W14" s="438"/>
      <c r="X14" s="438"/>
      <c r="Y14" s="438"/>
      <c r="Z14" s="438"/>
      <c r="AA14" s="438"/>
    </row>
    <row r="15">
      <c r="A15" s="482" t="s">
        <v>107</v>
      </c>
      <c r="B15" s="471" t="s">
        <v>2306</v>
      </c>
      <c r="C15" s="472" t="s">
        <v>134</v>
      </c>
      <c r="D15" s="473" t="s">
        <v>2636</v>
      </c>
      <c r="E15" s="473" t="s">
        <v>2642</v>
      </c>
      <c r="F15" s="473" t="s">
        <v>131</v>
      </c>
      <c r="G15" s="474" t="s">
        <v>2650</v>
      </c>
      <c r="H15" s="475">
        <v>44273.0</v>
      </c>
      <c r="I15" s="476"/>
      <c r="J15" s="476" t="s">
        <v>2665</v>
      </c>
    </row>
    <row r="16">
      <c r="A16" s="470" t="s">
        <v>2441</v>
      </c>
      <c r="B16" s="471" t="s">
        <v>2666</v>
      </c>
      <c r="C16" s="485">
        <v>11295.0</v>
      </c>
      <c r="D16" s="473" t="s">
        <v>2636</v>
      </c>
      <c r="E16" s="473" t="s">
        <v>2667</v>
      </c>
      <c r="F16" s="473" t="s">
        <v>439</v>
      </c>
      <c r="G16" s="474" t="s">
        <v>2650</v>
      </c>
      <c r="H16" s="475">
        <v>44277.0</v>
      </c>
      <c r="I16" s="476"/>
      <c r="J16" s="476" t="s">
        <v>2665</v>
      </c>
    </row>
    <row r="17">
      <c r="A17" s="470" t="s">
        <v>2441</v>
      </c>
      <c r="B17" s="471" t="s">
        <v>2666</v>
      </c>
      <c r="C17" s="485">
        <v>13040.0</v>
      </c>
      <c r="D17" s="473" t="s">
        <v>2636</v>
      </c>
      <c r="E17" s="473" t="s">
        <v>2667</v>
      </c>
      <c r="F17" s="473" t="s">
        <v>444</v>
      </c>
      <c r="G17" s="474" t="s">
        <v>2645</v>
      </c>
      <c r="H17" s="475">
        <v>44277.0</v>
      </c>
      <c r="I17" s="476"/>
      <c r="J17" s="481" t="s">
        <v>2660</v>
      </c>
    </row>
    <row r="18">
      <c r="A18" s="486" t="s">
        <v>2324</v>
      </c>
      <c r="B18" s="471" t="s">
        <v>2082</v>
      </c>
      <c r="C18" s="472" t="s">
        <v>41</v>
      </c>
      <c r="D18" s="473" t="s">
        <v>2636</v>
      </c>
      <c r="E18" s="473" t="s">
        <v>2668</v>
      </c>
      <c r="F18" s="473" t="s">
        <v>37</v>
      </c>
      <c r="G18" s="474" t="s">
        <v>2638</v>
      </c>
      <c r="H18" s="475">
        <v>44292.0</v>
      </c>
      <c r="I18" s="476"/>
      <c r="J18" s="476" t="s">
        <v>2665</v>
      </c>
    </row>
    <row r="19">
      <c r="A19" s="463" t="s">
        <v>480</v>
      </c>
      <c r="B19" s="467" t="s">
        <v>2646</v>
      </c>
      <c r="C19" s="483">
        <v>11268.0</v>
      </c>
      <c r="D19" s="459" t="s">
        <v>2636</v>
      </c>
      <c r="E19" s="478" t="s">
        <v>2644</v>
      </c>
      <c r="F19" s="459" t="s">
        <v>482</v>
      </c>
      <c r="G19" s="469" t="s">
        <v>2663</v>
      </c>
      <c r="H19" s="466">
        <v>44299.0</v>
      </c>
      <c r="I19" s="461" t="s">
        <v>2669</v>
      </c>
      <c r="J19" s="465"/>
      <c r="K19" s="438"/>
      <c r="L19" s="438"/>
      <c r="M19" s="438"/>
      <c r="N19" s="438"/>
      <c r="O19" s="438"/>
      <c r="P19" s="438"/>
      <c r="Q19" s="438"/>
      <c r="R19" s="438"/>
      <c r="S19" s="438"/>
      <c r="T19" s="438"/>
      <c r="U19" s="438"/>
      <c r="V19" s="438"/>
      <c r="W19" s="438"/>
      <c r="X19" s="438"/>
      <c r="Y19" s="438"/>
      <c r="Z19" s="438"/>
      <c r="AA19" s="438"/>
    </row>
    <row r="20">
      <c r="A20" s="470" t="s">
        <v>466</v>
      </c>
      <c r="B20" s="471" t="s">
        <v>2253</v>
      </c>
      <c r="C20" s="485" t="s">
        <v>467</v>
      </c>
      <c r="D20" s="473" t="s">
        <v>2636</v>
      </c>
      <c r="E20" s="473" t="s">
        <v>2667</v>
      </c>
      <c r="F20" s="473" t="s">
        <v>465</v>
      </c>
      <c r="G20" s="474" t="s">
        <v>2663</v>
      </c>
      <c r="H20" s="475">
        <v>44292.0</v>
      </c>
      <c r="I20" s="476"/>
      <c r="J20" s="476" t="s">
        <v>2670</v>
      </c>
    </row>
    <row r="21">
      <c r="A21" s="470" t="s">
        <v>2318</v>
      </c>
      <c r="B21" s="471" t="s">
        <v>2671</v>
      </c>
      <c r="C21" s="479" t="s">
        <v>2647</v>
      </c>
      <c r="D21" s="473" t="s">
        <v>2636</v>
      </c>
      <c r="E21" s="473" t="s">
        <v>2672</v>
      </c>
      <c r="F21" s="473" t="s">
        <v>266</v>
      </c>
      <c r="G21" s="474" t="s">
        <v>2673</v>
      </c>
      <c r="H21" s="475">
        <v>44292.0</v>
      </c>
      <c r="I21" s="476"/>
      <c r="J21" s="476" t="s">
        <v>2665</v>
      </c>
    </row>
    <row r="22">
      <c r="A22" s="487" t="s">
        <v>2285</v>
      </c>
      <c r="B22" s="488" t="s">
        <v>2662</v>
      </c>
      <c r="C22" s="458" t="s">
        <v>2647</v>
      </c>
      <c r="D22" s="489" t="s">
        <v>2636</v>
      </c>
      <c r="E22" s="489" t="s">
        <v>2644</v>
      </c>
      <c r="F22" s="489" t="s">
        <v>167</v>
      </c>
      <c r="G22" s="490" t="s">
        <v>2645</v>
      </c>
      <c r="H22" s="491">
        <v>44306.0</v>
      </c>
      <c r="I22" s="492" t="s">
        <v>2674</v>
      </c>
      <c r="J22" s="465"/>
      <c r="K22" s="438"/>
      <c r="L22" s="438"/>
      <c r="M22" s="438"/>
      <c r="N22" s="438"/>
      <c r="O22" s="438"/>
      <c r="P22" s="438"/>
      <c r="Q22" s="438"/>
      <c r="R22" s="438"/>
      <c r="S22" s="438"/>
      <c r="T22" s="438"/>
      <c r="U22" s="438"/>
      <c r="V22" s="438"/>
      <c r="W22" s="438"/>
      <c r="X22" s="438"/>
      <c r="Y22" s="438"/>
      <c r="Z22" s="438"/>
      <c r="AA22" s="438"/>
    </row>
    <row r="23">
      <c r="A23" s="463" t="s">
        <v>2330</v>
      </c>
      <c r="B23" s="467" t="s">
        <v>2331</v>
      </c>
      <c r="C23" s="458" t="s">
        <v>2647</v>
      </c>
      <c r="D23" s="459" t="s">
        <v>2636</v>
      </c>
      <c r="E23" s="459" t="s">
        <v>2675</v>
      </c>
      <c r="F23" s="459" t="s">
        <v>145</v>
      </c>
      <c r="G23" s="469" t="s">
        <v>2645</v>
      </c>
      <c r="H23" s="466">
        <v>44307.0</v>
      </c>
      <c r="I23" s="461" t="s">
        <v>2676</v>
      </c>
      <c r="J23" s="465"/>
      <c r="K23" s="438"/>
      <c r="L23" s="438"/>
      <c r="M23" s="438"/>
      <c r="N23" s="438"/>
      <c r="O23" s="438"/>
      <c r="P23" s="438"/>
      <c r="Q23" s="438"/>
      <c r="R23" s="438"/>
      <c r="S23" s="438"/>
      <c r="T23" s="438"/>
      <c r="U23" s="438"/>
      <c r="V23" s="438"/>
      <c r="W23" s="438"/>
      <c r="X23" s="438"/>
      <c r="Y23" s="438"/>
      <c r="Z23" s="438"/>
      <c r="AA23" s="438"/>
    </row>
    <row r="24">
      <c r="A24" s="470" t="s">
        <v>239</v>
      </c>
      <c r="B24" s="471" t="s">
        <v>422</v>
      </c>
      <c r="C24" s="479" t="s">
        <v>2647</v>
      </c>
      <c r="D24" s="473" t="s">
        <v>2636</v>
      </c>
      <c r="E24" s="473" t="s">
        <v>2642</v>
      </c>
      <c r="F24" s="473"/>
      <c r="G24" s="474" t="s">
        <v>2638</v>
      </c>
      <c r="H24" s="475">
        <v>44306.0</v>
      </c>
      <c r="I24" s="476"/>
      <c r="J24" s="476" t="s">
        <v>2670</v>
      </c>
    </row>
    <row r="25">
      <c r="A25" s="463" t="s">
        <v>239</v>
      </c>
      <c r="B25" s="467" t="s">
        <v>422</v>
      </c>
      <c r="C25" s="458" t="s">
        <v>2647</v>
      </c>
      <c r="D25" s="459" t="s">
        <v>2636</v>
      </c>
      <c r="E25" s="459" t="s">
        <v>2642</v>
      </c>
      <c r="F25" s="459" t="s">
        <v>238</v>
      </c>
      <c r="G25" s="469" t="s">
        <v>2638</v>
      </c>
      <c r="H25" s="466">
        <v>44307.0</v>
      </c>
      <c r="I25" s="461" t="s">
        <v>2677</v>
      </c>
      <c r="J25" s="465"/>
      <c r="K25" s="438"/>
      <c r="L25" s="438"/>
      <c r="M25" s="438"/>
      <c r="N25" s="438"/>
      <c r="O25" s="438"/>
      <c r="P25" s="438"/>
      <c r="Q25" s="438"/>
      <c r="R25" s="438"/>
      <c r="S25" s="438"/>
      <c r="T25" s="438"/>
      <c r="U25" s="438"/>
      <c r="V25" s="438"/>
      <c r="W25" s="438"/>
      <c r="X25" s="438"/>
      <c r="Y25" s="438"/>
      <c r="Z25" s="438"/>
      <c r="AA25" s="438"/>
    </row>
    <row r="26">
      <c r="A26" s="493" t="s">
        <v>2318</v>
      </c>
      <c r="B26" s="494" t="s">
        <v>2671</v>
      </c>
      <c r="C26" s="479" t="s">
        <v>2647</v>
      </c>
      <c r="D26" s="495" t="s">
        <v>2636</v>
      </c>
      <c r="E26" s="495" t="s">
        <v>2672</v>
      </c>
      <c r="F26" s="495" t="s">
        <v>266</v>
      </c>
      <c r="G26" s="496" t="s">
        <v>2650</v>
      </c>
      <c r="H26" s="497">
        <v>44319.0</v>
      </c>
      <c r="I26" s="476"/>
      <c r="J26" s="476" t="s">
        <v>2670</v>
      </c>
    </row>
    <row r="27">
      <c r="A27" s="463" t="s">
        <v>2322</v>
      </c>
      <c r="B27" s="467" t="s">
        <v>2323</v>
      </c>
      <c r="C27" s="498" t="s">
        <v>67</v>
      </c>
      <c r="D27" s="459" t="s">
        <v>2636</v>
      </c>
      <c r="E27" s="459" t="s">
        <v>2652</v>
      </c>
      <c r="F27" s="459" t="s">
        <v>65</v>
      </c>
      <c r="G27" s="469" t="s">
        <v>2638</v>
      </c>
      <c r="H27" s="466">
        <v>44319.0</v>
      </c>
      <c r="I27" s="461" t="s">
        <v>2678</v>
      </c>
      <c r="J27" s="465"/>
      <c r="K27" s="438"/>
      <c r="L27" s="438"/>
      <c r="M27" s="438"/>
      <c r="N27" s="438"/>
      <c r="O27" s="438"/>
      <c r="P27" s="438"/>
      <c r="Q27" s="438"/>
      <c r="R27" s="438"/>
      <c r="S27" s="438"/>
      <c r="T27" s="438"/>
      <c r="U27" s="438"/>
      <c r="V27" s="438"/>
      <c r="W27" s="438"/>
      <c r="X27" s="438"/>
      <c r="Y27" s="438"/>
      <c r="Z27" s="438"/>
      <c r="AA27" s="438"/>
    </row>
    <row r="28">
      <c r="A28" s="463" t="s">
        <v>294</v>
      </c>
      <c r="B28" s="467" t="s">
        <v>2679</v>
      </c>
      <c r="C28" s="499" t="s">
        <v>305</v>
      </c>
      <c r="D28" s="459" t="s">
        <v>2636</v>
      </c>
      <c r="E28" s="459"/>
      <c r="F28" s="459" t="s">
        <v>303</v>
      </c>
      <c r="G28" s="469" t="s">
        <v>2663</v>
      </c>
      <c r="H28" s="466">
        <v>44321.0</v>
      </c>
      <c r="I28" s="500" t="s">
        <v>2680</v>
      </c>
      <c r="J28" s="465"/>
      <c r="K28" s="438"/>
      <c r="L28" s="438"/>
      <c r="M28" s="438"/>
      <c r="N28" s="438"/>
      <c r="O28" s="438"/>
      <c r="P28" s="438"/>
      <c r="Q28" s="438"/>
      <c r="R28" s="438"/>
      <c r="S28" s="438"/>
      <c r="T28" s="438"/>
      <c r="U28" s="438"/>
      <c r="V28" s="438"/>
      <c r="W28" s="438"/>
      <c r="X28" s="438"/>
      <c r="Y28" s="438"/>
      <c r="Z28" s="438"/>
      <c r="AA28" s="438"/>
    </row>
    <row r="29">
      <c r="A29" s="463" t="s">
        <v>325</v>
      </c>
      <c r="B29" s="467" t="s">
        <v>2309</v>
      </c>
      <c r="C29" s="458" t="s">
        <v>2647</v>
      </c>
      <c r="D29" s="459" t="s">
        <v>2636</v>
      </c>
      <c r="E29" s="459" t="s">
        <v>2681</v>
      </c>
      <c r="F29" s="459" t="s">
        <v>324</v>
      </c>
      <c r="G29" s="469" t="s">
        <v>2673</v>
      </c>
      <c r="H29" s="466">
        <v>44319.0</v>
      </c>
      <c r="I29" s="461" t="s">
        <v>2682</v>
      </c>
      <c r="J29" s="465"/>
      <c r="K29" s="438"/>
      <c r="L29" s="438"/>
      <c r="M29" s="438"/>
      <c r="N29" s="438"/>
      <c r="O29" s="438"/>
      <c r="P29" s="438"/>
      <c r="Q29" s="438"/>
      <c r="R29" s="438"/>
      <c r="S29" s="438"/>
      <c r="T29" s="438"/>
      <c r="U29" s="438"/>
      <c r="V29" s="438"/>
      <c r="W29" s="438"/>
      <c r="X29" s="438"/>
      <c r="Y29" s="438"/>
      <c r="Z29" s="438"/>
      <c r="AA29" s="438"/>
    </row>
    <row r="30">
      <c r="A30" s="463" t="s">
        <v>2328</v>
      </c>
      <c r="B30" s="467" t="s">
        <v>1388</v>
      </c>
      <c r="C30" s="459"/>
      <c r="D30" s="459" t="s">
        <v>2636</v>
      </c>
      <c r="E30" s="459" t="s">
        <v>2658</v>
      </c>
      <c r="F30" s="459" t="s">
        <v>2683</v>
      </c>
      <c r="G30" s="469" t="s">
        <v>2684</v>
      </c>
      <c r="H30" s="466">
        <v>44316.0</v>
      </c>
      <c r="I30" s="461" t="s">
        <v>2685</v>
      </c>
      <c r="J30" s="465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38"/>
      <c r="AA30" s="438"/>
    </row>
    <row r="31">
      <c r="A31" s="463" t="s">
        <v>2328</v>
      </c>
      <c r="B31" s="467" t="s">
        <v>1388</v>
      </c>
      <c r="C31" s="459"/>
      <c r="D31" s="459" t="s">
        <v>2636</v>
      </c>
      <c r="E31" s="459" t="s">
        <v>2658</v>
      </c>
      <c r="F31" s="459" t="s">
        <v>2686</v>
      </c>
      <c r="G31" s="469" t="s">
        <v>2684</v>
      </c>
      <c r="H31" s="466">
        <v>44316.0</v>
      </c>
      <c r="I31" s="461" t="s">
        <v>2687</v>
      </c>
      <c r="J31" s="465"/>
      <c r="K31" s="438"/>
      <c r="L31" s="438"/>
      <c r="M31" s="438"/>
      <c r="N31" s="438"/>
      <c r="O31" s="438"/>
      <c r="P31" s="438"/>
      <c r="Q31" s="438"/>
      <c r="R31" s="438"/>
      <c r="S31" s="438"/>
      <c r="T31" s="438"/>
      <c r="U31" s="438"/>
      <c r="V31" s="438"/>
      <c r="W31" s="438"/>
      <c r="X31" s="438"/>
      <c r="Y31" s="438"/>
      <c r="Z31" s="438"/>
      <c r="AA31" s="438"/>
    </row>
    <row r="32">
      <c r="A32" s="463" t="s">
        <v>96</v>
      </c>
      <c r="B32" s="467" t="s">
        <v>2646</v>
      </c>
      <c r="C32" s="458" t="s">
        <v>2647</v>
      </c>
      <c r="D32" s="459" t="s">
        <v>2636</v>
      </c>
      <c r="E32" s="478" t="s">
        <v>2644</v>
      </c>
      <c r="F32" s="459" t="s">
        <v>95</v>
      </c>
      <c r="G32" s="469" t="s">
        <v>2663</v>
      </c>
      <c r="H32" s="501">
        <v>44328.0</v>
      </c>
      <c r="I32" s="461" t="s">
        <v>2688</v>
      </c>
      <c r="J32" s="465"/>
      <c r="K32" s="438"/>
      <c r="L32" s="438"/>
      <c r="M32" s="438"/>
      <c r="N32" s="438"/>
      <c r="O32" s="438"/>
      <c r="P32" s="438"/>
      <c r="Q32" s="438"/>
      <c r="R32" s="438"/>
      <c r="S32" s="438"/>
      <c r="T32" s="438"/>
      <c r="U32" s="438"/>
      <c r="V32" s="438"/>
      <c r="W32" s="438"/>
      <c r="X32" s="438"/>
      <c r="Y32" s="438"/>
      <c r="Z32" s="438"/>
      <c r="AA32" s="438"/>
    </row>
    <row r="33">
      <c r="A33" s="502" t="s">
        <v>2689</v>
      </c>
      <c r="B33" s="503" t="s">
        <v>2486</v>
      </c>
      <c r="C33" s="504" t="s">
        <v>515</v>
      </c>
      <c r="D33" s="505" t="s">
        <v>2636</v>
      </c>
      <c r="E33" s="505" t="s">
        <v>2690</v>
      </c>
      <c r="F33" s="480" t="s">
        <v>513</v>
      </c>
      <c r="G33" s="473" t="s">
        <v>2663</v>
      </c>
      <c r="H33" s="506">
        <v>44349.0</v>
      </c>
      <c r="I33" s="476"/>
      <c r="J33" s="476"/>
    </row>
    <row r="34">
      <c r="A34" s="463" t="s">
        <v>2691</v>
      </c>
      <c r="B34" s="467" t="s">
        <v>2692</v>
      </c>
      <c r="C34" s="458" t="s">
        <v>2647</v>
      </c>
      <c r="D34" s="459" t="s">
        <v>2636</v>
      </c>
      <c r="E34" s="459" t="s">
        <v>2693</v>
      </c>
      <c r="F34" s="459" t="s">
        <v>410</v>
      </c>
      <c r="G34" s="478" t="s">
        <v>2650</v>
      </c>
      <c r="H34" s="460">
        <v>44233.0</v>
      </c>
      <c r="I34" s="461" t="s">
        <v>2694</v>
      </c>
      <c r="J34" s="465"/>
      <c r="K34" s="438"/>
      <c r="L34" s="438"/>
      <c r="M34" s="438"/>
      <c r="N34" s="438"/>
      <c r="O34" s="438"/>
      <c r="P34" s="438"/>
      <c r="Q34" s="438"/>
      <c r="R34" s="438"/>
      <c r="S34" s="438"/>
      <c r="T34" s="438"/>
      <c r="U34" s="438"/>
      <c r="V34" s="438"/>
      <c r="W34" s="438"/>
      <c r="X34" s="438"/>
      <c r="Y34" s="438"/>
      <c r="Z34" s="438"/>
      <c r="AA34" s="438"/>
    </row>
    <row r="35">
      <c r="A35" s="487" t="s">
        <v>239</v>
      </c>
      <c r="B35" s="507" t="s">
        <v>422</v>
      </c>
      <c r="C35" s="483" t="s">
        <v>1057</v>
      </c>
      <c r="D35" s="458" t="s">
        <v>2636</v>
      </c>
      <c r="E35" s="458" t="s">
        <v>2642</v>
      </c>
      <c r="F35" s="508" t="s">
        <v>581</v>
      </c>
      <c r="G35" s="458" t="s">
        <v>2650</v>
      </c>
      <c r="H35" s="509">
        <v>44343.0</v>
      </c>
      <c r="I35" s="461" t="s">
        <v>2695</v>
      </c>
      <c r="J35" s="465"/>
      <c r="K35" s="438"/>
      <c r="L35" s="438"/>
      <c r="M35" s="438"/>
      <c r="N35" s="438"/>
      <c r="O35" s="438"/>
      <c r="P35" s="438"/>
      <c r="Q35" s="438"/>
      <c r="R35" s="438"/>
      <c r="S35" s="438"/>
      <c r="T35" s="438"/>
      <c r="U35" s="438"/>
      <c r="V35" s="438"/>
      <c r="W35" s="438"/>
      <c r="X35" s="438"/>
      <c r="Y35" s="438"/>
      <c r="Z35" s="438"/>
      <c r="AA35" s="438"/>
    </row>
    <row r="36">
      <c r="A36" s="510" t="s">
        <v>2696</v>
      </c>
      <c r="B36" s="511" t="s">
        <v>2697</v>
      </c>
      <c r="C36" s="483">
        <v>5052.0</v>
      </c>
      <c r="D36" s="458" t="s">
        <v>2636</v>
      </c>
      <c r="E36" s="512" t="s">
        <v>2667</v>
      </c>
      <c r="F36" s="513" t="s">
        <v>652</v>
      </c>
      <c r="G36" s="514" t="s">
        <v>2650</v>
      </c>
      <c r="H36" s="501">
        <v>44378.0</v>
      </c>
      <c r="I36" s="461" t="s">
        <v>2698</v>
      </c>
      <c r="J36" s="465"/>
      <c r="K36" s="438"/>
      <c r="L36" s="438"/>
      <c r="M36" s="438"/>
      <c r="N36" s="438"/>
      <c r="O36" s="438"/>
      <c r="P36" s="438"/>
      <c r="Q36" s="438"/>
      <c r="R36" s="438"/>
      <c r="S36" s="438"/>
      <c r="T36" s="438"/>
      <c r="U36" s="438"/>
      <c r="V36" s="438"/>
      <c r="W36" s="438"/>
      <c r="X36" s="438"/>
      <c r="Y36" s="438"/>
      <c r="Z36" s="438"/>
      <c r="AA36" s="438"/>
    </row>
    <row r="37">
      <c r="A37" s="510" t="s">
        <v>251</v>
      </c>
      <c r="B37" s="511" t="s">
        <v>400</v>
      </c>
      <c r="C37" s="483">
        <v>13544.0</v>
      </c>
      <c r="D37" s="458" t="s">
        <v>2636</v>
      </c>
      <c r="E37" s="512" t="s">
        <v>2644</v>
      </c>
      <c r="F37" s="513" t="s">
        <v>662</v>
      </c>
      <c r="G37" s="458" t="s">
        <v>2650</v>
      </c>
      <c r="H37" s="501">
        <v>44378.0</v>
      </c>
      <c r="I37" s="461" t="s">
        <v>2699</v>
      </c>
      <c r="J37" s="465"/>
      <c r="K37" s="438"/>
      <c r="L37" s="438"/>
      <c r="M37" s="438"/>
      <c r="N37" s="438"/>
      <c r="O37" s="438"/>
      <c r="P37" s="438"/>
      <c r="Q37" s="438"/>
      <c r="R37" s="438"/>
      <c r="S37" s="438"/>
      <c r="T37" s="438"/>
      <c r="U37" s="438"/>
      <c r="V37" s="438"/>
      <c r="W37" s="438"/>
      <c r="X37" s="438"/>
      <c r="Y37" s="438"/>
      <c r="Z37" s="438"/>
      <c r="AA37" s="438"/>
    </row>
    <row r="38">
      <c r="A38" s="515" t="s">
        <v>2696</v>
      </c>
      <c r="B38" s="511" t="s">
        <v>2697</v>
      </c>
      <c r="C38" s="483">
        <v>10860.0</v>
      </c>
      <c r="D38" s="458" t="s">
        <v>2636</v>
      </c>
      <c r="E38" s="512" t="s">
        <v>2667</v>
      </c>
      <c r="F38" s="513" t="s">
        <v>665</v>
      </c>
      <c r="G38" s="514" t="s">
        <v>2650</v>
      </c>
      <c r="H38" s="501">
        <v>44378.0</v>
      </c>
      <c r="I38" s="461" t="s">
        <v>2700</v>
      </c>
      <c r="J38" s="465"/>
      <c r="K38" s="438"/>
      <c r="L38" s="438"/>
      <c r="M38" s="438"/>
      <c r="N38" s="438"/>
      <c r="O38" s="438"/>
      <c r="P38" s="438"/>
      <c r="Q38" s="438"/>
      <c r="R38" s="438"/>
      <c r="S38" s="438"/>
      <c r="T38" s="438"/>
      <c r="U38" s="438"/>
      <c r="V38" s="438"/>
      <c r="W38" s="438"/>
      <c r="X38" s="438"/>
      <c r="Y38" s="438"/>
      <c r="Z38" s="438"/>
      <c r="AA38" s="438"/>
    </row>
    <row r="39">
      <c r="A39" s="516" t="s">
        <v>676</v>
      </c>
      <c r="B39" s="517" t="s">
        <v>2701</v>
      </c>
      <c r="C39" s="518" t="s">
        <v>677</v>
      </c>
      <c r="D39" s="458" t="s">
        <v>2636</v>
      </c>
      <c r="E39" s="519" t="s">
        <v>2702</v>
      </c>
      <c r="F39" s="508" t="s">
        <v>675</v>
      </c>
      <c r="G39" s="458" t="s">
        <v>2645</v>
      </c>
      <c r="H39" s="501">
        <v>44390.0</v>
      </c>
      <c r="I39" s="461" t="s">
        <v>2703</v>
      </c>
      <c r="J39" s="465"/>
      <c r="K39" s="438"/>
      <c r="L39" s="438"/>
      <c r="M39" s="438"/>
      <c r="N39" s="438"/>
      <c r="O39" s="438"/>
      <c r="P39" s="438"/>
      <c r="Q39" s="438"/>
      <c r="R39" s="438"/>
      <c r="S39" s="438"/>
      <c r="T39" s="438"/>
      <c r="U39" s="438"/>
      <c r="V39" s="438"/>
      <c r="W39" s="438"/>
      <c r="X39" s="438"/>
      <c r="Y39" s="438"/>
      <c r="Z39" s="438"/>
      <c r="AA39" s="438"/>
    </row>
    <row r="40">
      <c r="A40" s="520" t="s">
        <v>314</v>
      </c>
      <c r="B40" s="521" t="s">
        <v>2704</v>
      </c>
      <c r="C40" s="522" t="s">
        <v>315</v>
      </c>
      <c r="D40" s="458" t="s">
        <v>2636</v>
      </c>
      <c r="E40" s="458" t="s">
        <v>2649</v>
      </c>
      <c r="F40" s="508" t="s">
        <v>313</v>
      </c>
      <c r="G40" s="458" t="s">
        <v>2645</v>
      </c>
      <c r="H40" s="501">
        <v>44390.0</v>
      </c>
      <c r="I40" s="461" t="s">
        <v>2705</v>
      </c>
      <c r="J40" s="465" t="s">
        <v>2706</v>
      </c>
      <c r="K40" s="438"/>
      <c r="L40" s="438"/>
      <c r="M40" s="438"/>
      <c r="N40" s="438"/>
      <c r="O40" s="438"/>
      <c r="P40" s="438"/>
      <c r="Q40" s="438"/>
      <c r="R40" s="438"/>
      <c r="S40" s="438"/>
      <c r="T40" s="438"/>
      <c r="U40" s="438"/>
      <c r="V40" s="438"/>
      <c r="W40" s="438"/>
      <c r="X40" s="438"/>
      <c r="Y40" s="438"/>
      <c r="Z40" s="438"/>
      <c r="AA40" s="438"/>
    </row>
    <row r="41">
      <c r="A41" s="523" t="s">
        <v>466</v>
      </c>
      <c r="B41" s="507" t="s">
        <v>2253</v>
      </c>
      <c r="C41" s="468" t="s">
        <v>2707</v>
      </c>
      <c r="D41" s="458" t="s">
        <v>2636</v>
      </c>
      <c r="E41" s="458" t="s">
        <v>2667</v>
      </c>
      <c r="F41" s="458" t="s">
        <v>465</v>
      </c>
      <c r="G41" s="508" t="s">
        <v>2663</v>
      </c>
      <c r="H41" s="501">
        <v>44397.0</v>
      </c>
      <c r="I41" s="461" t="s">
        <v>2708</v>
      </c>
      <c r="J41" s="465"/>
      <c r="K41" s="438"/>
      <c r="L41" s="438"/>
      <c r="M41" s="438"/>
      <c r="N41" s="438"/>
      <c r="O41" s="438"/>
      <c r="P41" s="438"/>
      <c r="Q41" s="438"/>
      <c r="R41" s="438"/>
      <c r="S41" s="438"/>
      <c r="T41" s="438"/>
      <c r="U41" s="438"/>
      <c r="V41" s="438"/>
      <c r="W41" s="438"/>
      <c r="X41" s="438"/>
      <c r="Y41" s="438"/>
      <c r="Z41" s="438"/>
      <c r="AA41" s="438"/>
    </row>
    <row r="42">
      <c r="A42" s="523" t="s">
        <v>2318</v>
      </c>
      <c r="B42" s="507" t="s">
        <v>2671</v>
      </c>
      <c r="C42" s="458"/>
      <c r="D42" s="458" t="s">
        <v>2636</v>
      </c>
      <c r="E42" s="488" t="s">
        <v>2672</v>
      </c>
      <c r="F42" s="458" t="s">
        <v>266</v>
      </c>
      <c r="G42" s="508" t="s">
        <v>2650</v>
      </c>
      <c r="H42" s="501">
        <v>44397.0</v>
      </c>
      <c r="I42" s="461" t="s">
        <v>2709</v>
      </c>
      <c r="J42" s="465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438"/>
      <c r="X42" s="438"/>
      <c r="Y42" s="438"/>
      <c r="Z42" s="438"/>
      <c r="AA42" s="438"/>
    </row>
    <row r="43">
      <c r="A43" s="524" t="s">
        <v>619</v>
      </c>
      <c r="B43" s="507" t="s">
        <v>2710</v>
      </c>
      <c r="C43" s="518" t="s">
        <v>620</v>
      </c>
      <c r="D43" s="458" t="s">
        <v>2711</v>
      </c>
      <c r="E43" s="458" t="s">
        <v>2712</v>
      </c>
      <c r="F43" s="508" t="s">
        <v>618</v>
      </c>
      <c r="G43" s="458" t="s">
        <v>2650</v>
      </c>
      <c r="H43" s="501">
        <v>44397.0</v>
      </c>
      <c r="I43" s="525" t="s">
        <v>2713</v>
      </c>
      <c r="J43" s="465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438"/>
      <c r="X43" s="438"/>
      <c r="Y43" s="438"/>
      <c r="Z43" s="438"/>
      <c r="AA43" s="438"/>
    </row>
    <row r="44">
      <c r="A44" s="526" t="s">
        <v>2691</v>
      </c>
      <c r="B44" s="527" t="s">
        <v>2692</v>
      </c>
      <c r="C44" s="289"/>
      <c r="D44" s="528" t="s">
        <v>2636</v>
      </c>
      <c r="E44" s="528" t="s">
        <v>2693</v>
      </c>
      <c r="F44" s="528" t="s">
        <v>410</v>
      </c>
      <c r="G44" s="528" t="s">
        <v>2663</v>
      </c>
      <c r="H44" s="529">
        <v>44397.0</v>
      </c>
      <c r="I44" s="530" t="s">
        <v>2694</v>
      </c>
      <c r="J44" s="289"/>
    </row>
    <row r="45">
      <c r="A45" s="531" t="s">
        <v>96</v>
      </c>
      <c r="B45" s="527" t="s">
        <v>2646</v>
      </c>
      <c r="C45" s="528"/>
      <c r="D45" s="528" t="s">
        <v>2636</v>
      </c>
      <c r="E45" s="532" t="s">
        <v>2644</v>
      </c>
      <c r="F45" s="528" t="s">
        <v>95</v>
      </c>
      <c r="G45" s="528" t="s">
        <v>2663</v>
      </c>
      <c r="H45" s="529">
        <v>44397.0</v>
      </c>
      <c r="I45" s="530" t="s">
        <v>2688</v>
      </c>
      <c r="J45" s="289"/>
    </row>
    <row r="46">
      <c r="A46" s="533" t="s">
        <v>2284</v>
      </c>
      <c r="B46" s="534" t="s">
        <v>231</v>
      </c>
      <c r="C46" s="479"/>
      <c r="D46" s="479" t="s">
        <v>2636</v>
      </c>
      <c r="E46" s="535" t="s">
        <v>2714</v>
      </c>
      <c r="F46" s="362" t="s">
        <v>230</v>
      </c>
      <c r="G46" s="362" t="s">
        <v>2663</v>
      </c>
      <c r="H46" s="536">
        <v>44397.0</v>
      </c>
      <c r="I46" s="476"/>
      <c r="J46" s="476" t="s">
        <v>2670</v>
      </c>
    </row>
    <row r="47">
      <c r="A47" s="537" t="s">
        <v>107</v>
      </c>
      <c r="B47" s="467" t="s">
        <v>2306</v>
      </c>
      <c r="C47" s="538" t="s">
        <v>108</v>
      </c>
      <c r="D47" s="459" t="s">
        <v>2636</v>
      </c>
      <c r="E47" s="459" t="s">
        <v>2642</v>
      </c>
      <c r="F47" s="459" t="s">
        <v>106</v>
      </c>
      <c r="G47" s="514" t="s">
        <v>2650</v>
      </c>
      <c r="H47" s="501">
        <v>44404.0</v>
      </c>
      <c r="I47" s="461" t="s">
        <v>2715</v>
      </c>
      <c r="J47" s="465"/>
      <c r="K47" s="438"/>
      <c r="L47" s="438"/>
      <c r="M47" s="438"/>
      <c r="N47" s="438"/>
      <c r="O47" s="438"/>
      <c r="P47" s="438"/>
      <c r="Q47" s="438"/>
      <c r="R47" s="438"/>
      <c r="S47" s="438"/>
      <c r="T47" s="438"/>
      <c r="U47" s="438"/>
      <c r="V47" s="438"/>
      <c r="W47" s="438"/>
      <c r="X47" s="438"/>
      <c r="Y47" s="438"/>
      <c r="Z47" s="438"/>
      <c r="AA47" s="438"/>
    </row>
    <row r="48">
      <c r="A48" s="493" t="s">
        <v>504</v>
      </c>
      <c r="B48" s="539" t="s">
        <v>2716</v>
      </c>
      <c r="C48" s="540" t="s">
        <v>505</v>
      </c>
      <c r="D48" s="473" t="s">
        <v>2636</v>
      </c>
      <c r="E48" s="272" t="s">
        <v>2667</v>
      </c>
      <c r="F48" s="362" t="s">
        <v>503</v>
      </c>
      <c r="G48" s="479" t="s">
        <v>2638</v>
      </c>
      <c r="H48" s="536">
        <v>44403.0</v>
      </c>
      <c r="I48" s="476"/>
      <c r="J48" s="476" t="s">
        <v>2670</v>
      </c>
    </row>
    <row r="49">
      <c r="A49" s="463" t="s">
        <v>2441</v>
      </c>
      <c r="B49" s="467" t="s">
        <v>2697</v>
      </c>
      <c r="C49" s="541">
        <v>13040.0</v>
      </c>
      <c r="D49" s="459" t="s">
        <v>2636</v>
      </c>
      <c r="E49" s="459" t="s">
        <v>2667</v>
      </c>
      <c r="F49" s="514" t="s">
        <v>444</v>
      </c>
      <c r="G49" s="514" t="s">
        <v>2638</v>
      </c>
      <c r="H49" s="501">
        <v>44404.0</v>
      </c>
      <c r="I49" s="461" t="s">
        <v>2717</v>
      </c>
      <c r="J49" s="465"/>
      <c r="K49" s="438"/>
      <c r="L49" s="438"/>
      <c r="M49" s="438"/>
      <c r="N49" s="438"/>
      <c r="O49" s="438"/>
      <c r="P49" s="438"/>
      <c r="Q49" s="438"/>
      <c r="R49" s="438"/>
      <c r="S49" s="438"/>
      <c r="T49" s="438"/>
      <c r="U49" s="438"/>
      <c r="V49" s="438"/>
      <c r="W49" s="438"/>
      <c r="X49" s="438"/>
      <c r="Y49" s="438"/>
      <c r="Z49" s="438"/>
      <c r="AA49" s="438"/>
    </row>
    <row r="50">
      <c r="A50" s="542" t="s">
        <v>2718</v>
      </c>
      <c r="B50" s="465" t="s">
        <v>2719</v>
      </c>
      <c r="C50" s="465"/>
      <c r="D50" s="514" t="s">
        <v>2636</v>
      </c>
      <c r="E50" s="514" t="s">
        <v>2658</v>
      </c>
      <c r="F50" s="514" t="s">
        <v>780</v>
      </c>
      <c r="G50" s="514" t="s">
        <v>2673</v>
      </c>
      <c r="H50" s="501">
        <v>44403.0</v>
      </c>
      <c r="I50" s="461" t="s">
        <v>2720</v>
      </c>
      <c r="J50" s="465"/>
      <c r="K50" s="438"/>
      <c r="L50" s="438"/>
      <c r="M50" s="438"/>
      <c r="N50" s="438"/>
      <c r="O50" s="438"/>
      <c r="P50" s="438"/>
      <c r="Q50" s="438"/>
      <c r="R50" s="438"/>
      <c r="S50" s="438"/>
      <c r="T50" s="438"/>
      <c r="U50" s="438"/>
      <c r="V50" s="438"/>
      <c r="W50" s="438"/>
      <c r="X50" s="438"/>
      <c r="Y50" s="438"/>
      <c r="Z50" s="438"/>
      <c r="AA50" s="438"/>
    </row>
    <row r="51">
      <c r="A51" s="543" t="s">
        <v>748</v>
      </c>
      <c r="B51" s="476" t="s">
        <v>1121</v>
      </c>
      <c r="C51" s="362">
        <v>2.0113997E7</v>
      </c>
      <c r="D51" s="362" t="s">
        <v>2721</v>
      </c>
      <c r="E51" s="362" t="s">
        <v>2722</v>
      </c>
      <c r="F51" s="362" t="s">
        <v>747</v>
      </c>
      <c r="G51" s="362" t="s">
        <v>2645</v>
      </c>
      <c r="H51" s="536">
        <v>44403.0</v>
      </c>
      <c r="I51" s="476"/>
      <c r="J51" s="476" t="s">
        <v>2670</v>
      </c>
    </row>
    <row r="52">
      <c r="A52" s="544" t="s">
        <v>2723</v>
      </c>
      <c r="B52" s="545" t="s">
        <v>2724</v>
      </c>
      <c r="C52" s="238">
        <v>2.4208794E7</v>
      </c>
      <c r="D52" s="528" t="s">
        <v>2711</v>
      </c>
      <c r="E52" s="546" t="s">
        <v>722</v>
      </c>
      <c r="F52" s="238" t="s">
        <v>721</v>
      </c>
      <c r="G52" s="238" t="s">
        <v>2645</v>
      </c>
      <c r="H52" s="529">
        <v>44418.0</v>
      </c>
      <c r="I52" s="289"/>
      <c r="J52" s="289"/>
    </row>
    <row r="53">
      <c r="A53" s="547" t="s">
        <v>2285</v>
      </c>
      <c r="B53" s="548" t="s">
        <v>2286</v>
      </c>
      <c r="C53" s="483">
        <v>13589.0</v>
      </c>
      <c r="D53" s="514" t="s">
        <v>2721</v>
      </c>
      <c r="E53" s="519" t="s">
        <v>2644</v>
      </c>
      <c r="F53" s="514" t="s">
        <v>743</v>
      </c>
      <c r="G53" s="514" t="s">
        <v>2650</v>
      </c>
      <c r="H53" s="501">
        <v>44418.0</v>
      </c>
      <c r="I53" s="461" t="s">
        <v>2725</v>
      </c>
      <c r="J53" s="465"/>
      <c r="K53" s="438"/>
      <c r="L53" s="438"/>
      <c r="M53" s="438"/>
      <c r="N53" s="438"/>
      <c r="O53" s="438"/>
      <c r="P53" s="438"/>
      <c r="Q53" s="438"/>
      <c r="R53" s="438"/>
      <c r="S53" s="438"/>
      <c r="T53" s="438"/>
      <c r="U53" s="438"/>
      <c r="V53" s="438"/>
      <c r="W53" s="438"/>
      <c r="X53" s="438"/>
      <c r="Y53" s="438"/>
      <c r="Z53" s="438"/>
      <c r="AA53" s="438"/>
    </row>
    <row r="54">
      <c r="A54" s="549" t="s">
        <v>552</v>
      </c>
      <c r="B54" s="548" t="s">
        <v>2726</v>
      </c>
      <c r="C54" s="483" t="s">
        <v>553</v>
      </c>
      <c r="D54" s="458" t="s">
        <v>2711</v>
      </c>
      <c r="E54" s="519" t="s">
        <v>2727</v>
      </c>
      <c r="F54" s="514" t="s">
        <v>2728</v>
      </c>
      <c r="G54" s="514" t="s">
        <v>2663</v>
      </c>
      <c r="H54" s="501">
        <v>44424.0</v>
      </c>
      <c r="I54" s="461" t="s">
        <v>2729</v>
      </c>
      <c r="J54" s="465"/>
      <c r="K54" s="438"/>
      <c r="L54" s="438"/>
      <c r="M54" s="438"/>
      <c r="N54" s="438"/>
      <c r="O54" s="438"/>
      <c r="P54" s="438"/>
      <c r="Q54" s="438"/>
      <c r="R54" s="438"/>
      <c r="S54" s="438"/>
      <c r="T54" s="438"/>
      <c r="U54" s="438"/>
      <c r="V54" s="438"/>
      <c r="W54" s="438"/>
      <c r="X54" s="438"/>
      <c r="Y54" s="438"/>
      <c r="Z54" s="438"/>
      <c r="AA54" s="438"/>
    </row>
    <row r="55">
      <c r="A55" s="547" t="s">
        <v>294</v>
      </c>
      <c r="B55" s="548" t="s">
        <v>2304</v>
      </c>
      <c r="C55" s="483" t="s">
        <v>526</v>
      </c>
      <c r="D55" s="514" t="s">
        <v>2721</v>
      </c>
      <c r="E55" s="519" t="s">
        <v>2644</v>
      </c>
      <c r="F55" s="514" t="s">
        <v>2730</v>
      </c>
      <c r="G55" s="514" t="s">
        <v>2645</v>
      </c>
      <c r="H55" s="550">
        <v>44418.0</v>
      </c>
      <c r="I55" s="461" t="s">
        <v>2731</v>
      </c>
      <c r="J55" s="465"/>
      <c r="K55" s="438"/>
      <c r="L55" s="438"/>
      <c r="M55" s="438"/>
      <c r="N55" s="438"/>
      <c r="O55" s="438"/>
      <c r="P55" s="438"/>
      <c r="Q55" s="438"/>
      <c r="R55" s="438"/>
      <c r="S55" s="438"/>
      <c r="T55" s="438"/>
      <c r="U55" s="438"/>
      <c r="V55" s="438"/>
      <c r="W55" s="438"/>
      <c r="X55" s="438"/>
      <c r="Y55" s="438"/>
      <c r="Z55" s="438"/>
      <c r="AA55" s="438"/>
    </row>
    <row r="56">
      <c r="A56" s="542" t="s">
        <v>796</v>
      </c>
      <c r="B56" s="465" t="s">
        <v>2458</v>
      </c>
      <c r="C56" s="514" t="s">
        <v>797</v>
      </c>
      <c r="D56" s="514" t="s">
        <v>2721</v>
      </c>
      <c r="E56" s="514" t="s">
        <v>2690</v>
      </c>
      <c r="F56" s="514" t="s">
        <v>795</v>
      </c>
      <c r="G56" s="514" t="s">
        <v>2645</v>
      </c>
      <c r="H56" s="501">
        <v>44426.0</v>
      </c>
      <c r="I56" s="525" t="s">
        <v>2732</v>
      </c>
      <c r="J56" s="465"/>
      <c r="K56" s="438"/>
      <c r="L56" s="438"/>
      <c r="M56" s="438"/>
      <c r="N56" s="438"/>
      <c r="O56" s="438"/>
      <c r="P56" s="438"/>
      <c r="Q56" s="438"/>
      <c r="R56" s="438"/>
      <c r="S56" s="438"/>
      <c r="T56" s="438"/>
      <c r="U56" s="438"/>
      <c r="V56" s="438"/>
      <c r="W56" s="438"/>
      <c r="X56" s="438"/>
      <c r="Y56" s="438"/>
      <c r="Z56" s="438"/>
      <c r="AA56" s="438"/>
    </row>
    <row r="57">
      <c r="A57" s="524" t="s">
        <v>790</v>
      </c>
      <c r="B57" s="551" t="s">
        <v>2733</v>
      </c>
      <c r="C57" s="514" t="s">
        <v>788</v>
      </c>
      <c r="D57" s="514" t="s">
        <v>2721</v>
      </c>
      <c r="E57" s="514" t="s">
        <v>2734</v>
      </c>
      <c r="F57" s="514" t="s">
        <v>786</v>
      </c>
      <c r="G57" s="514" t="s">
        <v>2645</v>
      </c>
      <c r="H57" s="501">
        <v>44426.0</v>
      </c>
      <c r="I57" s="461" t="s">
        <v>2735</v>
      </c>
      <c r="J57" s="465"/>
      <c r="K57" s="438"/>
      <c r="L57" s="438"/>
      <c r="M57" s="438"/>
      <c r="N57" s="438"/>
      <c r="O57" s="438"/>
      <c r="P57" s="438"/>
      <c r="Q57" s="438"/>
      <c r="R57" s="438"/>
      <c r="S57" s="438"/>
      <c r="T57" s="438"/>
      <c r="U57" s="438"/>
      <c r="V57" s="438"/>
      <c r="W57" s="438"/>
      <c r="X57" s="438"/>
      <c r="Y57" s="438"/>
      <c r="Z57" s="438"/>
      <c r="AA57" s="438"/>
    </row>
    <row r="58">
      <c r="A58" s="552" t="s">
        <v>2736</v>
      </c>
      <c r="B58" s="553" t="s">
        <v>2737</v>
      </c>
      <c r="C58" s="238">
        <v>2.792057E7</v>
      </c>
      <c r="D58" s="238" t="s">
        <v>2721</v>
      </c>
      <c r="E58" s="238" t="s">
        <v>2738</v>
      </c>
      <c r="F58" s="238" t="s">
        <v>802</v>
      </c>
      <c r="G58" s="238" t="s">
        <v>2645</v>
      </c>
      <c r="H58" s="529">
        <v>44442.0</v>
      </c>
      <c r="I58" s="530" t="s">
        <v>2739</v>
      </c>
      <c r="J58" s="289"/>
    </row>
    <row r="59">
      <c r="A59" s="465" t="s">
        <v>2438</v>
      </c>
      <c r="B59" s="465" t="s">
        <v>2306</v>
      </c>
      <c r="C59" s="498" t="s">
        <v>134</v>
      </c>
      <c r="D59" s="514" t="s">
        <v>2721</v>
      </c>
      <c r="E59" s="458" t="s">
        <v>2642</v>
      </c>
      <c r="F59" s="514" t="s">
        <v>131</v>
      </c>
      <c r="G59" s="514" t="s">
        <v>2645</v>
      </c>
      <c r="H59" s="501">
        <v>44454.0</v>
      </c>
      <c r="I59" s="461" t="s">
        <v>2740</v>
      </c>
      <c r="J59" s="465"/>
      <c r="K59" s="438"/>
      <c r="L59" s="438"/>
      <c r="M59" s="438"/>
      <c r="N59" s="438"/>
      <c r="O59" s="438"/>
      <c r="P59" s="438"/>
      <c r="Q59" s="438"/>
      <c r="R59" s="438"/>
      <c r="S59" s="438"/>
      <c r="T59" s="438"/>
      <c r="U59" s="438"/>
      <c r="V59" s="438"/>
      <c r="W59" s="438"/>
      <c r="X59" s="438"/>
      <c r="Y59" s="438"/>
      <c r="Z59" s="438"/>
      <c r="AA59" s="438"/>
    </row>
    <row r="60">
      <c r="A60" s="554" t="s">
        <v>294</v>
      </c>
      <c r="B60" s="555" t="s">
        <v>2304</v>
      </c>
      <c r="C60" s="556" t="s">
        <v>300</v>
      </c>
      <c r="D60" s="362" t="s">
        <v>2721</v>
      </c>
      <c r="E60" s="479" t="s">
        <v>2644</v>
      </c>
      <c r="F60" s="362" t="s">
        <v>298</v>
      </c>
      <c r="G60" s="362" t="s">
        <v>2638</v>
      </c>
      <c r="H60" s="536">
        <v>44456.0</v>
      </c>
      <c r="I60" s="476"/>
      <c r="J60" s="476" t="s">
        <v>2741</v>
      </c>
    </row>
    <row r="61">
      <c r="A61" s="557" t="s">
        <v>456</v>
      </c>
      <c r="B61" s="555" t="s">
        <v>2742</v>
      </c>
      <c r="C61" s="273" t="s">
        <v>457</v>
      </c>
      <c r="D61" s="362" t="s">
        <v>2721</v>
      </c>
      <c r="E61" s="479" t="s">
        <v>2644</v>
      </c>
      <c r="F61" s="362" t="s">
        <v>2743</v>
      </c>
      <c r="G61" s="362" t="s">
        <v>2663</v>
      </c>
      <c r="H61" s="536">
        <v>44456.0</v>
      </c>
      <c r="I61" s="476"/>
      <c r="J61" s="476" t="s">
        <v>2741</v>
      </c>
    </row>
    <row r="62">
      <c r="A62" s="558" t="s">
        <v>2440</v>
      </c>
      <c r="B62" s="559" t="s">
        <v>2303</v>
      </c>
      <c r="C62" s="560" t="s">
        <v>558</v>
      </c>
      <c r="D62" s="238" t="s">
        <v>2721</v>
      </c>
      <c r="E62" s="560" t="s">
        <v>2690</v>
      </c>
      <c r="F62" s="238" t="s">
        <v>557</v>
      </c>
      <c r="G62" s="238" t="s">
        <v>2650</v>
      </c>
      <c r="H62" s="529">
        <v>44456.0</v>
      </c>
      <c r="I62" s="289"/>
      <c r="J62" s="289"/>
    </row>
    <row r="63">
      <c r="A63" s="456" t="s">
        <v>480</v>
      </c>
      <c r="B63" s="457" t="s">
        <v>2646</v>
      </c>
      <c r="C63" s="499" t="s">
        <v>843</v>
      </c>
      <c r="D63" s="514" t="s">
        <v>2721</v>
      </c>
      <c r="E63" s="458" t="s">
        <v>2644</v>
      </c>
      <c r="F63" s="514" t="s">
        <v>841</v>
      </c>
      <c r="G63" s="514" t="s">
        <v>2645</v>
      </c>
      <c r="H63" s="550">
        <v>44469.0</v>
      </c>
      <c r="I63" s="461" t="s">
        <v>2744</v>
      </c>
      <c r="J63" s="465"/>
      <c r="K63" s="438"/>
      <c r="L63" s="438"/>
      <c r="M63" s="438"/>
      <c r="N63" s="438"/>
      <c r="O63" s="438"/>
      <c r="P63" s="438"/>
      <c r="Q63" s="438"/>
      <c r="R63" s="438"/>
      <c r="S63" s="438"/>
      <c r="T63" s="438"/>
      <c r="U63" s="438"/>
      <c r="V63" s="438"/>
      <c r="W63" s="438"/>
      <c r="X63" s="438"/>
      <c r="Y63" s="438"/>
      <c r="Z63" s="438"/>
      <c r="AA63" s="438"/>
    </row>
    <row r="64">
      <c r="A64" s="561" t="s">
        <v>2285</v>
      </c>
      <c r="B64" s="562" t="s">
        <v>2286</v>
      </c>
      <c r="C64" s="483">
        <v>2.9435071E7</v>
      </c>
      <c r="D64" s="514" t="s">
        <v>2721</v>
      </c>
      <c r="E64" s="458" t="s">
        <v>2644</v>
      </c>
      <c r="F64" s="514" t="s">
        <v>819</v>
      </c>
      <c r="G64" s="514" t="s">
        <v>2645</v>
      </c>
      <c r="H64" s="550">
        <v>44469.0</v>
      </c>
      <c r="I64" s="525" t="s">
        <v>2745</v>
      </c>
      <c r="J64" s="465"/>
      <c r="K64" s="438"/>
      <c r="L64" s="438"/>
      <c r="M64" s="438"/>
      <c r="N64" s="438"/>
      <c r="O64" s="438"/>
      <c r="P64" s="438"/>
      <c r="Q64" s="438"/>
      <c r="R64" s="438"/>
      <c r="S64" s="438"/>
      <c r="T64" s="438"/>
      <c r="U64" s="438"/>
      <c r="V64" s="438"/>
      <c r="W64" s="438"/>
      <c r="X64" s="438"/>
      <c r="Y64" s="438"/>
      <c r="Z64" s="438"/>
      <c r="AA64" s="438"/>
    </row>
    <row r="65">
      <c r="A65" s="370" t="s">
        <v>2284</v>
      </c>
      <c r="B65" s="555" t="s">
        <v>231</v>
      </c>
      <c r="C65" s="485">
        <v>20702.0</v>
      </c>
      <c r="D65" s="362" t="s">
        <v>2721</v>
      </c>
      <c r="E65" s="563" t="s">
        <v>2714</v>
      </c>
      <c r="F65" s="362" t="s">
        <v>827</v>
      </c>
      <c r="G65" s="362" t="s">
        <v>2650</v>
      </c>
      <c r="H65" s="564">
        <v>44469.0</v>
      </c>
      <c r="I65" s="476"/>
      <c r="J65" s="476"/>
    </row>
    <row r="66">
      <c r="A66" s="561" t="s">
        <v>2461</v>
      </c>
      <c r="B66" s="562" t="s">
        <v>2746</v>
      </c>
      <c r="C66" s="514">
        <v>2.7917539E7</v>
      </c>
      <c r="D66" s="514" t="s">
        <v>2721</v>
      </c>
      <c r="E66" s="565" t="s">
        <v>2747</v>
      </c>
      <c r="F66" s="514" t="s">
        <v>836</v>
      </c>
      <c r="G66" s="514" t="s">
        <v>2645</v>
      </c>
      <c r="H66" s="550">
        <v>44469.0</v>
      </c>
      <c r="I66" s="461" t="s">
        <v>2748</v>
      </c>
      <c r="J66" s="465"/>
      <c r="K66" s="438"/>
      <c r="L66" s="438"/>
      <c r="M66" s="438"/>
      <c r="N66" s="438"/>
      <c r="O66" s="438"/>
      <c r="P66" s="438"/>
      <c r="Q66" s="438"/>
      <c r="R66" s="438"/>
      <c r="S66" s="438"/>
      <c r="T66" s="438"/>
      <c r="U66" s="438"/>
      <c r="V66" s="438"/>
      <c r="W66" s="438"/>
      <c r="X66" s="438"/>
      <c r="Y66" s="438"/>
      <c r="Z66" s="438"/>
      <c r="AA66" s="438"/>
    </row>
    <row r="67">
      <c r="A67" s="561" t="s">
        <v>2473</v>
      </c>
      <c r="B67" s="562" t="s">
        <v>694</v>
      </c>
      <c r="C67" s="499">
        <v>2.7918709E7</v>
      </c>
      <c r="D67" s="514" t="s">
        <v>2721</v>
      </c>
      <c r="E67" s="565" t="s">
        <v>2749</v>
      </c>
      <c r="F67" s="514" t="s">
        <v>846</v>
      </c>
      <c r="G67" s="514" t="s">
        <v>2645</v>
      </c>
      <c r="H67" s="550">
        <v>44474.0</v>
      </c>
      <c r="I67" s="461" t="s">
        <v>2750</v>
      </c>
      <c r="J67" s="465"/>
      <c r="K67" s="438"/>
      <c r="L67" s="438"/>
      <c r="M67" s="438"/>
      <c r="N67" s="438"/>
      <c r="O67" s="438"/>
      <c r="P67" s="438"/>
      <c r="Q67" s="438"/>
      <c r="R67" s="438"/>
      <c r="S67" s="438"/>
      <c r="T67" s="438"/>
      <c r="U67" s="438"/>
      <c r="V67" s="438"/>
      <c r="W67" s="438"/>
      <c r="X67" s="438"/>
      <c r="Y67" s="438"/>
      <c r="Z67" s="438"/>
      <c r="AA67" s="438"/>
    </row>
    <row r="68">
      <c r="A68" s="561" t="s">
        <v>831</v>
      </c>
      <c r="B68" s="562" t="s">
        <v>2283</v>
      </c>
      <c r="C68" s="566">
        <v>1.7968259E7</v>
      </c>
      <c r="D68" s="514" t="s">
        <v>2721</v>
      </c>
      <c r="E68" s="565" t="s">
        <v>2644</v>
      </c>
      <c r="F68" s="514" t="s">
        <v>830</v>
      </c>
      <c r="G68" s="514" t="s">
        <v>2650</v>
      </c>
      <c r="H68" s="550">
        <v>44474.0</v>
      </c>
      <c r="I68" s="525" t="s">
        <v>2751</v>
      </c>
      <c r="J68" s="465"/>
      <c r="K68" s="438"/>
      <c r="L68" s="438"/>
      <c r="M68" s="438"/>
      <c r="N68" s="438"/>
      <c r="O68" s="438"/>
      <c r="P68" s="438"/>
      <c r="Q68" s="438"/>
      <c r="R68" s="438"/>
      <c r="S68" s="438"/>
      <c r="T68" s="438"/>
      <c r="U68" s="438"/>
      <c r="V68" s="438"/>
      <c r="W68" s="438"/>
      <c r="X68" s="438"/>
      <c r="Y68" s="438"/>
      <c r="Z68" s="438"/>
      <c r="AA68" s="438"/>
    </row>
    <row r="69">
      <c r="A69" s="561" t="s">
        <v>864</v>
      </c>
      <c r="B69" s="562" t="s">
        <v>2752</v>
      </c>
      <c r="C69" s="565"/>
      <c r="D69" s="514" t="s">
        <v>2721</v>
      </c>
      <c r="E69" s="565" t="s">
        <v>2753</v>
      </c>
      <c r="F69" s="514" t="s">
        <v>871</v>
      </c>
      <c r="G69" s="514" t="s">
        <v>2645</v>
      </c>
      <c r="H69" s="567">
        <v>44489.0</v>
      </c>
      <c r="I69" s="525" t="s">
        <v>2754</v>
      </c>
      <c r="J69" s="465"/>
      <c r="K69" s="438"/>
      <c r="L69" s="438"/>
      <c r="M69" s="438"/>
      <c r="N69" s="438"/>
      <c r="O69" s="438"/>
      <c r="P69" s="438"/>
      <c r="Q69" s="438"/>
      <c r="R69" s="438"/>
      <c r="S69" s="438"/>
      <c r="T69" s="438"/>
      <c r="U69" s="438"/>
      <c r="V69" s="438"/>
      <c r="W69" s="438"/>
      <c r="X69" s="438"/>
      <c r="Y69" s="438"/>
      <c r="Z69" s="438"/>
      <c r="AA69" s="438"/>
    </row>
    <row r="70">
      <c r="A70" s="561" t="s">
        <v>899</v>
      </c>
      <c r="B70" s="568" t="s">
        <v>2755</v>
      </c>
      <c r="C70" s="483">
        <v>1.9494545E7</v>
      </c>
      <c r="D70" s="514" t="s">
        <v>2721</v>
      </c>
      <c r="E70" s="565" t="s">
        <v>2644</v>
      </c>
      <c r="F70" s="514" t="s">
        <v>898</v>
      </c>
      <c r="G70" s="514" t="s">
        <v>2645</v>
      </c>
      <c r="H70" s="567">
        <v>44497.0</v>
      </c>
      <c r="I70" s="461" t="s">
        <v>2756</v>
      </c>
      <c r="J70" s="465"/>
      <c r="K70" s="438"/>
      <c r="L70" s="438"/>
      <c r="M70" s="438"/>
      <c r="N70" s="438"/>
      <c r="O70" s="438"/>
      <c r="P70" s="438"/>
      <c r="Q70" s="438"/>
      <c r="R70" s="438"/>
      <c r="S70" s="438"/>
      <c r="T70" s="438"/>
      <c r="U70" s="438"/>
      <c r="V70" s="438"/>
      <c r="W70" s="438"/>
      <c r="X70" s="438"/>
      <c r="Y70" s="438"/>
      <c r="Z70" s="438"/>
      <c r="AA70" s="438"/>
    </row>
    <row r="71">
      <c r="A71" s="569" t="s">
        <v>857</v>
      </c>
      <c r="B71" s="545" t="s">
        <v>2276</v>
      </c>
      <c r="C71" s="238">
        <v>2.6674024E7</v>
      </c>
      <c r="D71" s="238" t="s">
        <v>2721</v>
      </c>
      <c r="E71" s="546" t="s">
        <v>2690</v>
      </c>
      <c r="F71" s="238" t="s">
        <v>856</v>
      </c>
      <c r="G71" s="238" t="s">
        <v>2650</v>
      </c>
      <c r="H71" s="570">
        <v>44510.0</v>
      </c>
      <c r="I71" s="289"/>
      <c r="J71" s="289"/>
    </row>
    <row r="72">
      <c r="A72" s="571" t="s">
        <v>514</v>
      </c>
      <c r="B72" s="572" t="s">
        <v>2757</v>
      </c>
      <c r="C72" s="573" t="s">
        <v>515</v>
      </c>
      <c r="D72" s="514" t="s">
        <v>2721</v>
      </c>
      <c r="E72" s="459" t="s">
        <v>2690</v>
      </c>
      <c r="F72" s="514" t="s">
        <v>513</v>
      </c>
      <c r="G72" s="514" t="s">
        <v>2638</v>
      </c>
      <c r="H72" s="567">
        <v>44504.0</v>
      </c>
      <c r="I72" s="461" t="s">
        <v>2758</v>
      </c>
      <c r="J72" s="465"/>
      <c r="K72" s="438"/>
      <c r="L72" s="438"/>
      <c r="M72" s="438"/>
      <c r="N72" s="438"/>
      <c r="O72" s="438"/>
      <c r="P72" s="438"/>
      <c r="Q72" s="438"/>
      <c r="R72" s="438"/>
      <c r="S72" s="438"/>
      <c r="T72" s="438"/>
      <c r="U72" s="438"/>
      <c r="V72" s="438"/>
      <c r="W72" s="438"/>
      <c r="X72" s="438"/>
      <c r="Y72" s="438"/>
      <c r="Z72" s="438"/>
      <c r="AA72" s="438"/>
    </row>
    <row r="73">
      <c r="A73" s="520" t="s">
        <v>440</v>
      </c>
      <c r="B73" s="562" t="s">
        <v>2299</v>
      </c>
      <c r="C73" s="514">
        <v>11295.0</v>
      </c>
      <c r="D73" s="514" t="s">
        <v>2721</v>
      </c>
      <c r="E73" s="565" t="s">
        <v>2759</v>
      </c>
      <c r="F73" s="514" t="s">
        <v>439</v>
      </c>
      <c r="G73" s="514" t="s">
        <v>2638</v>
      </c>
      <c r="H73" s="550">
        <v>44505.0</v>
      </c>
      <c r="I73" s="461" t="s">
        <v>2760</v>
      </c>
      <c r="J73" s="465"/>
      <c r="K73" s="438"/>
      <c r="L73" s="438"/>
      <c r="M73" s="438"/>
      <c r="N73" s="438"/>
      <c r="O73" s="438"/>
      <c r="P73" s="438"/>
      <c r="Q73" s="438"/>
      <c r="R73" s="438"/>
      <c r="S73" s="438"/>
      <c r="T73" s="438"/>
      <c r="U73" s="438"/>
      <c r="V73" s="438"/>
      <c r="W73" s="438"/>
      <c r="X73" s="438"/>
      <c r="Y73" s="438"/>
      <c r="Z73" s="438"/>
      <c r="AA73" s="438"/>
    </row>
    <row r="74">
      <c r="A74" s="574" t="s">
        <v>2476</v>
      </c>
      <c r="B74" s="545" t="s">
        <v>2761</v>
      </c>
      <c r="C74" s="546"/>
      <c r="D74" s="528" t="s">
        <v>2711</v>
      </c>
      <c r="E74" s="546" t="s">
        <v>2762</v>
      </c>
      <c r="F74" s="238" t="s">
        <v>914</v>
      </c>
      <c r="G74" s="289"/>
      <c r="H74" s="238"/>
      <c r="I74" s="289"/>
      <c r="J74" s="289"/>
    </row>
    <row r="75">
      <c r="A75" s="575" t="s">
        <v>930</v>
      </c>
      <c r="B75" s="471" t="s">
        <v>1388</v>
      </c>
      <c r="C75" s="476"/>
      <c r="D75" s="362" t="s">
        <v>2721</v>
      </c>
      <c r="E75" s="362" t="s">
        <v>2658</v>
      </c>
      <c r="F75" s="362" t="s">
        <v>937</v>
      </c>
      <c r="G75" s="476"/>
      <c r="H75" s="564">
        <v>44487.0</v>
      </c>
      <c r="I75" s="476" t="s">
        <v>696</v>
      </c>
      <c r="J75" s="476"/>
    </row>
    <row r="76">
      <c r="A76" s="575" t="s">
        <v>930</v>
      </c>
      <c r="B76" s="471" t="s">
        <v>1388</v>
      </c>
      <c r="C76" s="476"/>
      <c r="D76" s="362" t="s">
        <v>2721</v>
      </c>
      <c r="E76" s="362" t="s">
        <v>2658</v>
      </c>
      <c r="F76" s="362" t="s">
        <v>939</v>
      </c>
      <c r="G76" s="476"/>
      <c r="H76" s="564">
        <v>44487.0</v>
      </c>
      <c r="I76" s="476" t="s">
        <v>696</v>
      </c>
      <c r="J76" s="476"/>
    </row>
    <row r="77">
      <c r="A77" s="575" t="s">
        <v>930</v>
      </c>
      <c r="B77" s="471" t="s">
        <v>1388</v>
      </c>
      <c r="C77" s="476"/>
      <c r="D77" s="362" t="s">
        <v>2721</v>
      </c>
      <c r="E77" s="362" t="s">
        <v>2658</v>
      </c>
      <c r="F77" s="362" t="s">
        <v>941</v>
      </c>
      <c r="G77" s="362"/>
      <c r="H77" s="564">
        <v>44487.0</v>
      </c>
      <c r="I77" s="476" t="s">
        <v>696</v>
      </c>
      <c r="J77" s="476"/>
    </row>
    <row r="78">
      <c r="A78" s="575" t="s">
        <v>930</v>
      </c>
      <c r="B78" s="471" t="s">
        <v>1388</v>
      </c>
      <c r="C78" s="476"/>
      <c r="D78" s="362" t="s">
        <v>2721</v>
      </c>
      <c r="E78" s="362" t="s">
        <v>2658</v>
      </c>
      <c r="F78" s="362" t="s">
        <v>943</v>
      </c>
      <c r="G78" s="362"/>
      <c r="H78" s="564">
        <v>44487.0</v>
      </c>
      <c r="I78" s="476" t="s">
        <v>696</v>
      </c>
      <c r="J78" s="476"/>
    </row>
    <row r="79">
      <c r="A79" s="493" t="s">
        <v>1412</v>
      </c>
      <c r="B79" s="476" t="s">
        <v>2082</v>
      </c>
      <c r="C79" s="576" t="s">
        <v>41</v>
      </c>
      <c r="D79" s="479" t="s">
        <v>2636</v>
      </c>
      <c r="E79" s="479" t="s">
        <v>2668</v>
      </c>
      <c r="F79" s="479" t="s">
        <v>37</v>
      </c>
      <c r="G79" s="273" t="s">
        <v>2650</v>
      </c>
      <c r="H79" s="536">
        <v>44508.0</v>
      </c>
      <c r="I79" s="476"/>
      <c r="J79" s="476" t="s">
        <v>2763</v>
      </c>
    </row>
    <row r="80">
      <c r="A80" s="577" t="s">
        <v>953</v>
      </c>
      <c r="B80" s="465" t="s">
        <v>2265</v>
      </c>
      <c r="C80" s="578" t="s">
        <v>955</v>
      </c>
      <c r="D80" s="458" t="s">
        <v>2636</v>
      </c>
      <c r="E80" s="514" t="s">
        <v>2681</v>
      </c>
      <c r="F80" s="514" t="s">
        <v>952</v>
      </c>
      <c r="G80" s="514" t="s">
        <v>2645</v>
      </c>
      <c r="H80" s="501">
        <v>44517.0</v>
      </c>
      <c r="I80" s="579" t="s">
        <v>2764</v>
      </c>
      <c r="J80" s="438"/>
      <c r="K80" s="438"/>
      <c r="L80" s="438"/>
      <c r="M80" s="438"/>
      <c r="N80" s="438"/>
      <c r="O80" s="438"/>
      <c r="P80" s="438"/>
      <c r="Q80" s="438"/>
      <c r="R80" s="438"/>
      <c r="S80" s="438"/>
      <c r="T80" s="438"/>
      <c r="U80" s="438"/>
      <c r="V80" s="438"/>
      <c r="W80" s="438"/>
      <c r="X80" s="438"/>
      <c r="Y80" s="438"/>
      <c r="Z80" s="438"/>
      <c r="AA80" s="438"/>
    </row>
    <row r="81">
      <c r="A81" s="580"/>
      <c r="B81" s="394"/>
      <c r="C81" s="390"/>
      <c r="D81" s="390"/>
      <c r="E81" s="394"/>
      <c r="F81" s="390"/>
      <c r="G81" s="390"/>
      <c r="H81" s="581"/>
    </row>
    <row r="82">
      <c r="A82" s="304"/>
      <c r="B82" s="304"/>
      <c r="D82" s="390"/>
      <c r="E82" s="582"/>
      <c r="F82" s="390"/>
      <c r="G82" s="390"/>
      <c r="H82" s="581"/>
    </row>
    <row r="83">
      <c r="A83" s="544"/>
      <c r="B83" s="583"/>
      <c r="C83" s="68"/>
      <c r="D83" s="390"/>
      <c r="E83" s="406"/>
      <c r="F83" s="390"/>
      <c r="G83" s="390"/>
      <c r="H83" s="581"/>
    </row>
    <row r="84">
      <c r="A84" s="544"/>
      <c r="B84" s="583"/>
      <c r="C84" s="584"/>
      <c r="D84" s="390"/>
      <c r="E84" s="406"/>
      <c r="F84" s="390"/>
      <c r="G84" s="390"/>
      <c r="H84" s="581"/>
    </row>
  </sheetData>
  <hyperlinks>
    <hyperlink r:id="rId1" ref="I2"/>
    <hyperlink r:id="rId2" ref="I4"/>
    <hyperlink r:id="rId3" ref="I5"/>
    <hyperlink r:id="rId4" ref="I6"/>
    <hyperlink r:id="rId5" ref="I7"/>
    <hyperlink r:id="rId6" ref="I8"/>
    <hyperlink r:id="rId7" ref="I10"/>
    <hyperlink r:id="rId8" ref="I12"/>
    <hyperlink r:id="rId9" ref="I14"/>
    <hyperlink r:id="rId10" ref="I19"/>
    <hyperlink r:id="rId11" ref="I22"/>
    <hyperlink r:id="rId12" ref="I23"/>
    <hyperlink r:id="rId13" ref="I25"/>
    <hyperlink r:id="rId14" ref="I27"/>
    <hyperlink r:id="rId15" ref="I28"/>
    <hyperlink r:id="rId16" ref="I29"/>
    <hyperlink r:id="rId17" ref="I30"/>
    <hyperlink r:id="rId18" ref="I31"/>
    <hyperlink r:id="rId19" ref="I32"/>
    <hyperlink r:id="rId20" ref="I34"/>
    <hyperlink r:id="rId21" ref="I35"/>
    <hyperlink r:id="rId22" ref="I36"/>
    <hyperlink r:id="rId23" ref="I37"/>
    <hyperlink r:id="rId24" ref="I38"/>
    <hyperlink r:id="rId25" ref="I39"/>
    <hyperlink r:id="rId26" ref="I40"/>
    <hyperlink r:id="rId27" ref="I41"/>
    <hyperlink r:id="rId28" ref="I42"/>
    <hyperlink r:id="rId29" ref="I43"/>
    <hyperlink r:id="rId30" ref="I44"/>
    <hyperlink r:id="rId31" ref="I45"/>
    <hyperlink r:id="rId32" ref="I47"/>
    <hyperlink r:id="rId33" ref="I49"/>
    <hyperlink r:id="rId34" ref="I50"/>
    <hyperlink r:id="rId35" ref="I53"/>
    <hyperlink r:id="rId36" ref="I54"/>
    <hyperlink r:id="rId37" ref="I55"/>
    <hyperlink r:id="rId38" ref="I56"/>
    <hyperlink r:id="rId39" ref="I57"/>
    <hyperlink r:id="rId40" ref="I58"/>
    <hyperlink r:id="rId41" ref="I59"/>
    <hyperlink r:id="rId42" ref="I63"/>
    <hyperlink r:id="rId43" ref="I64"/>
    <hyperlink r:id="rId44" ref="I66"/>
    <hyperlink r:id="rId45" ref="I67"/>
    <hyperlink r:id="rId46" ref="I68"/>
    <hyperlink r:id="rId47" ref="I69"/>
    <hyperlink r:id="rId48" ref="I70"/>
    <hyperlink r:id="rId49" ref="I72"/>
    <hyperlink r:id="rId50" ref="I73"/>
    <hyperlink r:id="rId51" ref="I80"/>
  </hyperlinks>
  <printOptions gridLines="1"/>
  <pageMargins bottom="0.75" footer="0.0" header="0.0" left="0.7" right="0.7" top="0.75"/>
  <pageSetup scale="50" orientation="landscape"/>
  <drawing r:id="rId5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29.14"/>
    <col customWidth="1" min="3" max="3" width="16.14"/>
    <col customWidth="1" min="4" max="4" width="14.29"/>
    <col customWidth="1" min="5" max="5" width="12.43"/>
    <col customWidth="1" min="6" max="6" width="23.29"/>
    <col customWidth="1" min="7" max="7" width="12.43"/>
    <col customWidth="1" min="8" max="8" width="11.57"/>
    <col customWidth="1" min="9" max="9" width="13.0"/>
    <col customWidth="1" min="10" max="11" width="8.57"/>
    <col customWidth="1" min="12" max="12" width="16.86"/>
    <col customWidth="1" min="13" max="13" width="7.71"/>
    <col customWidth="1" min="14" max="14" width="11.71"/>
    <col customWidth="1" min="15" max="15" width="78.14"/>
  </cols>
  <sheetData>
    <row r="1">
      <c r="A1" s="585" t="s">
        <v>2765</v>
      </c>
      <c r="B1" s="586" t="s">
        <v>2568</v>
      </c>
      <c r="C1" s="586" t="s">
        <v>2766</v>
      </c>
      <c r="D1" s="586" t="s">
        <v>2767</v>
      </c>
      <c r="E1" s="586" t="s">
        <v>2768</v>
      </c>
      <c r="F1" s="586" t="s">
        <v>2769</v>
      </c>
      <c r="G1" s="586" t="s">
        <v>2770</v>
      </c>
      <c r="H1" s="587" t="s">
        <v>2771</v>
      </c>
      <c r="I1" s="587" t="s">
        <v>2428</v>
      </c>
      <c r="J1" s="587" t="s">
        <v>2454</v>
      </c>
      <c r="K1" s="587" t="s">
        <v>2772</v>
      </c>
      <c r="L1" s="587" t="s">
        <v>2773</v>
      </c>
      <c r="M1" s="587" t="s">
        <v>2430</v>
      </c>
      <c r="N1" s="586" t="s">
        <v>1</v>
      </c>
      <c r="O1" s="586" t="s">
        <v>2774</v>
      </c>
    </row>
    <row r="2">
      <c r="A2" s="588" t="s">
        <v>428</v>
      </c>
      <c r="B2" s="297" t="s">
        <v>2305</v>
      </c>
      <c r="C2" s="297" t="s">
        <v>2655</v>
      </c>
      <c r="D2" s="297" t="s">
        <v>2775</v>
      </c>
      <c r="E2" s="589" t="s">
        <v>2277</v>
      </c>
      <c r="F2" s="590" t="s">
        <v>2776</v>
      </c>
      <c r="G2" s="589">
        <v>3.0</v>
      </c>
      <c r="H2" s="589" t="s">
        <v>2777</v>
      </c>
      <c r="I2" s="589" t="s">
        <v>2777</v>
      </c>
      <c r="J2" s="589" t="s">
        <v>2777</v>
      </c>
      <c r="K2" s="591"/>
      <c r="L2" s="589" t="s">
        <v>2777</v>
      </c>
      <c r="M2" s="591"/>
      <c r="N2" s="297" t="s">
        <v>74</v>
      </c>
    </row>
    <row r="3">
      <c r="A3" s="588" t="s">
        <v>198</v>
      </c>
      <c r="B3" s="297" t="s">
        <v>2321</v>
      </c>
      <c r="C3" s="297" t="s">
        <v>2778</v>
      </c>
      <c r="D3" s="297" t="s">
        <v>2747</v>
      </c>
      <c r="E3" s="589" t="s">
        <v>2336</v>
      </c>
      <c r="F3" s="590" t="s">
        <v>2779</v>
      </c>
      <c r="G3" s="589">
        <v>2.0</v>
      </c>
      <c r="H3" s="589" t="s">
        <v>2777</v>
      </c>
      <c r="I3" s="591"/>
      <c r="J3" s="591"/>
      <c r="K3" s="591"/>
      <c r="L3" s="589" t="s">
        <v>2780</v>
      </c>
      <c r="M3" s="591"/>
      <c r="N3" s="297" t="s">
        <v>316</v>
      </c>
    </row>
    <row r="4">
      <c r="A4" s="588" t="s">
        <v>466</v>
      </c>
      <c r="B4" s="297" t="s">
        <v>2781</v>
      </c>
      <c r="C4" s="592" t="s">
        <v>2759</v>
      </c>
      <c r="D4" s="297" t="s">
        <v>2782</v>
      </c>
      <c r="E4" s="589" t="s">
        <v>2277</v>
      </c>
      <c r="F4" s="297" t="s">
        <v>2783</v>
      </c>
      <c r="G4" s="589">
        <v>1.0</v>
      </c>
      <c r="H4" s="589" t="s">
        <v>2777</v>
      </c>
      <c r="I4" s="589" t="s">
        <v>2777</v>
      </c>
      <c r="J4" s="589" t="s">
        <v>2777</v>
      </c>
      <c r="K4" s="591"/>
      <c r="L4" s="589" t="s">
        <v>2784</v>
      </c>
      <c r="M4" s="591"/>
      <c r="N4" s="297" t="s">
        <v>74</v>
      </c>
      <c r="O4" s="593" t="s">
        <v>2785</v>
      </c>
    </row>
    <row r="5">
      <c r="A5" s="588" t="s">
        <v>440</v>
      </c>
      <c r="B5" s="297" t="s">
        <v>2299</v>
      </c>
      <c r="C5" s="297" t="s">
        <v>2759</v>
      </c>
      <c r="D5" s="297" t="s">
        <v>2782</v>
      </c>
      <c r="E5" s="589" t="s">
        <v>2277</v>
      </c>
      <c r="F5" s="297" t="s">
        <v>2783</v>
      </c>
      <c r="G5" s="589">
        <v>4.0</v>
      </c>
      <c r="H5" s="589" t="s">
        <v>2777</v>
      </c>
      <c r="I5" s="589" t="s">
        <v>2777</v>
      </c>
      <c r="J5" s="589" t="s">
        <v>2777</v>
      </c>
      <c r="K5" s="591"/>
      <c r="L5" s="589" t="s">
        <v>2786</v>
      </c>
      <c r="M5" s="591"/>
      <c r="N5" s="297" t="s">
        <v>74</v>
      </c>
    </row>
    <row r="6">
      <c r="A6" s="588" t="s">
        <v>504</v>
      </c>
      <c r="B6" s="297" t="s">
        <v>2716</v>
      </c>
      <c r="C6" s="297" t="s">
        <v>2759</v>
      </c>
      <c r="D6" s="297" t="s">
        <v>2782</v>
      </c>
      <c r="E6" s="589" t="s">
        <v>2336</v>
      </c>
      <c r="F6" s="590" t="s">
        <v>2776</v>
      </c>
      <c r="G6" s="589">
        <v>1.0</v>
      </c>
      <c r="H6" s="589" t="s">
        <v>2777</v>
      </c>
      <c r="I6" s="591"/>
      <c r="J6" s="589" t="s">
        <v>2777</v>
      </c>
      <c r="K6" s="591"/>
      <c r="L6" s="589" t="s">
        <v>2787</v>
      </c>
      <c r="M6" s="591"/>
      <c r="N6" s="297" t="s">
        <v>74</v>
      </c>
    </row>
    <row r="7">
      <c r="A7" s="588" t="s">
        <v>2328</v>
      </c>
      <c r="B7" s="297" t="s">
        <v>1388</v>
      </c>
      <c r="C7" s="297" t="s">
        <v>2658</v>
      </c>
      <c r="D7" s="297"/>
      <c r="E7" s="589" t="s">
        <v>2336</v>
      </c>
      <c r="F7" s="590" t="s">
        <v>2779</v>
      </c>
      <c r="G7" s="589">
        <v>7.0</v>
      </c>
      <c r="H7" s="589" t="s">
        <v>2777</v>
      </c>
      <c r="I7" s="591"/>
      <c r="J7" s="589" t="s">
        <v>2777</v>
      </c>
      <c r="K7" s="591"/>
      <c r="L7" s="589" t="s">
        <v>2777</v>
      </c>
      <c r="M7" s="589" t="s">
        <v>2777</v>
      </c>
      <c r="N7" s="297" t="s">
        <v>2788</v>
      </c>
    </row>
    <row r="8">
      <c r="A8" s="594" t="s">
        <v>2440</v>
      </c>
      <c r="B8" s="297" t="s">
        <v>2303</v>
      </c>
      <c r="C8" s="297" t="s">
        <v>2690</v>
      </c>
      <c r="D8" s="297"/>
      <c r="E8" s="589" t="s">
        <v>2277</v>
      </c>
      <c r="F8" s="590" t="s">
        <v>2779</v>
      </c>
      <c r="G8" s="589">
        <v>5.0</v>
      </c>
      <c r="H8" s="589" t="s">
        <v>2777</v>
      </c>
      <c r="I8" s="591"/>
      <c r="J8" s="589" t="s">
        <v>2777</v>
      </c>
      <c r="K8" s="591"/>
      <c r="L8" s="589" t="s">
        <v>2784</v>
      </c>
      <c r="M8" s="591"/>
      <c r="N8" s="297" t="s">
        <v>74</v>
      </c>
    </row>
    <row r="9">
      <c r="A9" s="588" t="s">
        <v>2450</v>
      </c>
      <c r="B9" s="297" t="s">
        <v>2789</v>
      </c>
      <c r="C9" s="297" t="s">
        <v>2658</v>
      </c>
      <c r="D9" s="297"/>
      <c r="E9" s="589" t="s">
        <v>2336</v>
      </c>
      <c r="F9" s="590" t="s">
        <v>2776</v>
      </c>
      <c r="G9" s="589">
        <v>1.0</v>
      </c>
      <c r="H9" s="589" t="s">
        <v>2777</v>
      </c>
      <c r="I9" s="589" t="s">
        <v>2777</v>
      </c>
      <c r="J9" s="589" t="s">
        <v>2777</v>
      </c>
      <c r="K9" s="591"/>
      <c r="L9" s="589" t="s">
        <v>2790</v>
      </c>
      <c r="M9" s="589" t="s">
        <v>2777</v>
      </c>
      <c r="N9" s="297" t="s">
        <v>2791</v>
      </c>
    </row>
    <row r="10">
      <c r="A10" s="588" t="s">
        <v>765</v>
      </c>
      <c r="B10" s="297" t="s">
        <v>2792</v>
      </c>
      <c r="C10" s="297" t="s">
        <v>2690</v>
      </c>
      <c r="D10" s="297"/>
      <c r="E10" s="589" t="s">
        <v>2277</v>
      </c>
      <c r="F10" s="595" t="s">
        <v>2793</v>
      </c>
      <c r="G10" s="589">
        <v>1.0</v>
      </c>
      <c r="H10" s="591"/>
      <c r="I10" s="591"/>
      <c r="J10" s="591"/>
      <c r="K10" s="591"/>
      <c r="L10" s="591"/>
      <c r="M10" s="591"/>
      <c r="N10" s="297" t="s">
        <v>74</v>
      </c>
    </row>
    <row r="11">
      <c r="A11" s="588" t="s">
        <v>796</v>
      </c>
      <c r="B11" s="297" t="s">
        <v>2458</v>
      </c>
      <c r="C11" s="297" t="s">
        <v>2690</v>
      </c>
      <c r="D11" s="297" t="s">
        <v>2794</v>
      </c>
      <c r="E11" s="589" t="s">
        <v>2336</v>
      </c>
      <c r="F11" s="595" t="s">
        <v>2793</v>
      </c>
      <c r="G11" s="589">
        <v>1.0</v>
      </c>
      <c r="H11" s="589" t="s">
        <v>2777</v>
      </c>
      <c r="I11" s="589" t="s">
        <v>2777</v>
      </c>
      <c r="J11" s="589" t="s">
        <v>2777</v>
      </c>
      <c r="K11" s="591"/>
      <c r="L11" s="589" t="s">
        <v>2784</v>
      </c>
      <c r="M11" s="591"/>
      <c r="N11" s="297" t="s">
        <v>74</v>
      </c>
      <c r="O11" s="593" t="s">
        <v>2795</v>
      </c>
    </row>
    <row r="12">
      <c r="A12" s="588" t="s">
        <v>2289</v>
      </c>
      <c r="B12" s="297" t="s">
        <v>2290</v>
      </c>
      <c r="C12" s="297" t="s">
        <v>2690</v>
      </c>
      <c r="D12" s="297" t="s">
        <v>2794</v>
      </c>
      <c r="E12" s="589" t="s">
        <v>2277</v>
      </c>
      <c r="F12" s="595" t="s">
        <v>2796</v>
      </c>
      <c r="G12" s="589">
        <v>1.0</v>
      </c>
      <c r="H12" s="589" t="s">
        <v>2275</v>
      </c>
      <c r="I12" s="591"/>
      <c r="J12" s="591"/>
      <c r="K12" s="591"/>
      <c r="L12" s="589" t="s">
        <v>2797</v>
      </c>
      <c r="M12" s="591"/>
      <c r="N12" s="297" t="s">
        <v>74</v>
      </c>
    </row>
    <row r="13">
      <c r="A13" s="588" t="s">
        <v>2461</v>
      </c>
      <c r="B13" s="297" t="s">
        <v>2746</v>
      </c>
      <c r="C13" s="297" t="s">
        <v>2747</v>
      </c>
      <c r="D13" s="297"/>
      <c r="E13" s="589" t="s">
        <v>2336</v>
      </c>
      <c r="F13" s="595" t="s">
        <v>2793</v>
      </c>
      <c r="G13" s="589">
        <v>2.0</v>
      </c>
      <c r="H13" s="589" t="s">
        <v>2777</v>
      </c>
      <c r="I13" s="589" t="s">
        <v>2777</v>
      </c>
      <c r="J13" s="589" t="s">
        <v>2777</v>
      </c>
      <c r="K13" s="591"/>
      <c r="L13" s="589" t="s">
        <v>2784</v>
      </c>
      <c r="M13" s="591"/>
      <c r="N13" s="297" t="s">
        <v>74</v>
      </c>
    </row>
    <row r="14">
      <c r="A14" s="588" t="s">
        <v>857</v>
      </c>
      <c r="B14" s="297" t="s">
        <v>2276</v>
      </c>
      <c r="C14" s="297" t="s">
        <v>2690</v>
      </c>
      <c r="D14" s="297" t="s">
        <v>2794</v>
      </c>
      <c r="E14" s="589" t="s">
        <v>2277</v>
      </c>
      <c r="F14" s="297" t="s">
        <v>2783</v>
      </c>
      <c r="G14" s="589">
        <v>1.0</v>
      </c>
      <c r="H14" s="589" t="s">
        <v>2777</v>
      </c>
      <c r="I14" s="591"/>
      <c r="J14" s="591"/>
      <c r="K14" s="591"/>
      <c r="L14" s="589" t="s">
        <v>2798</v>
      </c>
      <c r="M14" s="591"/>
      <c r="N14" s="297" t="s">
        <v>74</v>
      </c>
    </row>
    <row r="15">
      <c r="A15" s="588" t="s">
        <v>904</v>
      </c>
      <c r="B15" s="297" t="s">
        <v>2370</v>
      </c>
      <c r="C15" s="297" t="s">
        <v>2690</v>
      </c>
      <c r="D15" s="297"/>
      <c r="E15" s="589" t="s">
        <v>2277</v>
      </c>
      <c r="F15" s="590" t="s">
        <v>2779</v>
      </c>
      <c r="G15" s="589">
        <v>2.0</v>
      </c>
      <c r="H15" s="589" t="s">
        <v>2777</v>
      </c>
      <c r="I15" s="591"/>
      <c r="J15" s="591"/>
      <c r="K15" s="591"/>
      <c r="L15" s="591"/>
      <c r="M15" s="591"/>
      <c r="N15" s="297" t="s">
        <v>74</v>
      </c>
    </row>
    <row r="16">
      <c r="A16" s="594" t="s">
        <v>994</v>
      </c>
      <c r="B16" s="297" t="s">
        <v>2799</v>
      </c>
      <c r="C16" s="297" t="s">
        <v>2658</v>
      </c>
      <c r="D16" s="297"/>
      <c r="E16" s="589" t="s">
        <v>2336</v>
      </c>
      <c r="F16" s="590" t="s">
        <v>2776</v>
      </c>
      <c r="G16" s="589">
        <v>1.0</v>
      </c>
      <c r="H16" s="589" t="s">
        <v>2800</v>
      </c>
      <c r="I16" s="591"/>
      <c r="J16" s="591"/>
      <c r="K16" s="591"/>
      <c r="L16" s="591"/>
      <c r="M16" s="591"/>
      <c r="N16" s="297" t="s">
        <v>696</v>
      </c>
      <c r="O16" s="593" t="s">
        <v>2801</v>
      </c>
    </row>
    <row r="19">
      <c r="O19" s="593" t="s">
        <v>2802</v>
      </c>
    </row>
  </sheetData>
  <hyperlinks>
    <hyperlink r:id="rId1" ref="O4"/>
    <hyperlink r:id="rId2" ref="O11"/>
    <hyperlink r:id="rId3" ref="O16"/>
    <hyperlink r:id="rId4" ref="O19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22.0"/>
    <col customWidth="1" min="3" max="3" width="20.57"/>
    <col customWidth="1" min="4" max="4" width="17.57"/>
    <col customWidth="1" min="5" max="5" width="19.43"/>
    <col customWidth="1" min="8" max="8" width="17.57"/>
    <col customWidth="1" min="9" max="9" width="84.14"/>
    <col customWidth="1" min="10" max="10" width="90.14"/>
  </cols>
  <sheetData>
    <row r="1">
      <c r="A1" s="453" t="s">
        <v>2803</v>
      </c>
      <c r="B1" s="454" t="s">
        <v>2627</v>
      </c>
      <c r="C1" s="454" t="s">
        <v>2628</v>
      </c>
      <c r="D1" s="454" t="s">
        <v>1993</v>
      </c>
      <c r="E1" s="454" t="s">
        <v>2629</v>
      </c>
      <c r="F1" s="454" t="s">
        <v>2630</v>
      </c>
      <c r="G1" s="454" t="s">
        <v>2631</v>
      </c>
      <c r="H1" s="454" t="s">
        <v>2632</v>
      </c>
      <c r="I1" s="455" t="s">
        <v>2633</v>
      </c>
      <c r="J1" s="455" t="s">
        <v>2634</v>
      </c>
    </row>
    <row r="2">
      <c r="A2" s="596" t="s">
        <v>89</v>
      </c>
      <c r="B2" s="597" t="s">
        <v>2320</v>
      </c>
      <c r="C2" s="528" t="s">
        <v>2635</v>
      </c>
      <c r="D2" s="598" t="s">
        <v>2636</v>
      </c>
      <c r="E2" s="597" t="s">
        <v>2637</v>
      </c>
      <c r="F2" s="598" t="s">
        <v>87</v>
      </c>
      <c r="G2" s="598" t="s">
        <v>2638</v>
      </c>
      <c r="H2" s="599">
        <v>44118.0</v>
      </c>
      <c r="I2" s="530" t="s">
        <v>2639</v>
      </c>
      <c r="J2" s="600" t="s">
        <v>2804</v>
      </c>
    </row>
    <row r="3">
      <c r="A3" s="601" t="s">
        <v>107</v>
      </c>
      <c r="B3" s="597" t="s">
        <v>2306</v>
      </c>
      <c r="C3" s="602" t="s">
        <v>2641</v>
      </c>
      <c r="D3" s="598" t="s">
        <v>2636</v>
      </c>
      <c r="E3" s="597" t="s">
        <v>2642</v>
      </c>
      <c r="F3" s="598" t="s">
        <v>384</v>
      </c>
      <c r="G3" s="598" t="s">
        <v>2638</v>
      </c>
      <c r="H3" s="599">
        <v>44188.0</v>
      </c>
      <c r="I3" s="289"/>
      <c r="J3" s="289"/>
    </row>
    <row r="4">
      <c r="A4" s="596" t="s">
        <v>739</v>
      </c>
      <c r="B4" s="597" t="s">
        <v>400</v>
      </c>
      <c r="C4" s="602" t="s">
        <v>2643</v>
      </c>
      <c r="D4" s="598" t="s">
        <v>2636</v>
      </c>
      <c r="E4" s="597" t="s">
        <v>2644</v>
      </c>
      <c r="F4" s="598" t="s">
        <v>399</v>
      </c>
      <c r="G4" s="598" t="s">
        <v>2645</v>
      </c>
      <c r="H4" s="599">
        <v>44188.0</v>
      </c>
      <c r="I4" s="530" t="s">
        <v>2639</v>
      </c>
      <c r="J4" s="289"/>
    </row>
    <row r="5">
      <c r="A5" s="596" t="s">
        <v>480</v>
      </c>
      <c r="B5" s="597" t="s">
        <v>2646</v>
      </c>
      <c r="C5" s="597"/>
      <c r="D5" s="598" t="s">
        <v>2636</v>
      </c>
      <c r="E5" s="597" t="s">
        <v>2644</v>
      </c>
      <c r="F5" s="598" t="s">
        <v>167</v>
      </c>
      <c r="G5" s="598" t="s">
        <v>2638</v>
      </c>
      <c r="H5" s="603">
        <v>44137.0</v>
      </c>
      <c r="I5" s="530" t="s">
        <v>2639</v>
      </c>
      <c r="J5" s="289"/>
    </row>
    <row r="6">
      <c r="A6" s="601" t="s">
        <v>107</v>
      </c>
      <c r="B6" s="604" t="s">
        <v>2306</v>
      </c>
      <c r="C6" s="604"/>
      <c r="D6" s="598" t="s">
        <v>2636</v>
      </c>
      <c r="E6" s="604" t="s">
        <v>2642</v>
      </c>
      <c r="F6" s="598" t="s">
        <v>384</v>
      </c>
      <c r="G6" s="605" t="s">
        <v>2638</v>
      </c>
      <c r="H6" s="603">
        <v>44260.0</v>
      </c>
      <c r="I6" s="530" t="s">
        <v>2639</v>
      </c>
      <c r="J6" s="289"/>
    </row>
    <row r="7">
      <c r="A7" s="601" t="s">
        <v>1859</v>
      </c>
      <c r="B7" s="604" t="s">
        <v>422</v>
      </c>
      <c r="C7" s="604"/>
      <c r="D7" s="598" t="s">
        <v>2636</v>
      </c>
      <c r="E7" s="604" t="s">
        <v>2642</v>
      </c>
      <c r="F7" s="598" t="s">
        <v>421</v>
      </c>
      <c r="G7" s="605" t="s">
        <v>2638</v>
      </c>
      <c r="H7" s="603">
        <v>44260.0</v>
      </c>
      <c r="I7" s="530" t="s">
        <v>2639</v>
      </c>
      <c r="J7" s="289" t="s">
        <v>2805</v>
      </c>
    </row>
    <row r="8">
      <c r="A8" s="601" t="s">
        <v>124</v>
      </c>
      <c r="B8" s="604" t="s">
        <v>2494</v>
      </c>
      <c r="C8" s="604"/>
      <c r="D8" s="598" t="s">
        <v>2636</v>
      </c>
      <c r="E8" s="604" t="s">
        <v>2649</v>
      </c>
      <c r="F8" s="598" t="s">
        <v>123</v>
      </c>
      <c r="G8" s="605" t="s">
        <v>2650</v>
      </c>
      <c r="H8" s="603">
        <v>44258.0</v>
      </c>
      <c r="I8" s="530" t="s">
        <v>2651</v>
      </c>
      <c r="J8" s="289"/>
    </row>
    <row r="9">
      <c r="A9" s="470" t="s">
        <v>2322</v>
      </c>
      <c r="B9" s="471" t="s">
        <v>2323</v>
      </c>
      <c r="C9" s="471"/>
      <c r="D9" s="473" t="s">
        <v>2636</v>
      </c>
      <c r="E9" s="471" t="s">
        <v>2652</v>
      </c>
      <c r="F9" s="473" t="s">
        <v>65</v>
      </c>
      <c r="G9" s="474" t="s">
        <v>2650</v>
      </c>
      <c r="H9" s="475">
        <v>44267.0</v>
      </c>
      <c r="I9" s="476"/>
      <c r="J9" s="477" t="s">
        <v>2653</v>
      </c>
    </row>
    <row r="10">
      <c r="A10" s="601" t="s">
        <v>428</v>
      </c>
      <c r="B10" s="604" t="s">
        <v>2654</v>
      </c>
      <c r="C10" s="604"/>
      <c r="D10" s="598" t="s">
        <v>2636</v>
      </c>
      <c r="E10" s="606" t="s">
        <v>2655</v>
      </c>
      <c r="F10" s="598" t="s">
        <v>427</v>
      </c>
      <c r="G10" s="605" t="s">
        <v>2650</v>
      </c>
      <c r="H10" s="603">
        <v>44257.0</v>
      </c>
      <c r="I10" s="530" t="s">
        <v>2656</v>
      </c>
      <c r="J10" s="289"/>
    </row>
    <row r="11">
      <c r="A11" s="470" t="s">
        <v>96</v>
      </c>
      <c r="B11" s="471" t="s">
        <v>2646</v>
      </c>
      <c r="C11" s="471"/>
      <c r="D11" s="473" t="s">
        <v>2636</v>
      </c>
      <c r="E11" s="607" t="s">
        <v>2644</v>
      </c>
      <c r="F11" s="473" t="s">
        <v>95</v>
      </c>
      <c r="G11" s="474" t="s">
        <v>2650</v>
      </c>
      <c r="H11" s="475">
        <v>44267.0</v>
      </c>
      <c r="I11" s="476"/>
      <c r="J11" s="481" t="s">
        <v>2657</v>
      </c>
    </row>
    <row r="12">
      <c r="A12" s="601" t="s">
        <v>2328</v>
      </c>
      <c r="B12" s="604" t="s">
        <v>1388</v>
      </c>
      <c r="C12" s="604"/>
      <c r="D12" s="598" t="s">
        <v>2636</v>
      </c>
      <c r="E12" s="604" t="s">
        <v>2658</v>
      </c>
      <c r="F12" s="598" t="s">
        <v>151</v>
      </c>
      <c r="G12" s="605" t="s">
        <v>2650</v>
      </c>
      <c r="H12" s="603">
        <v>44267.0</v>
      </c>
      <c r="I12" s="530" t="s">
        <v>2659</v>
      </c>
      <c r="J12" s="289"/>
    </row>
    <row r="13">
      <c r="A13" s="482" t="s">
        <v>107</v>
      </c>
      <c r="B13" s="471" t="s">
        <v>2306</v>
      </c>
      <c r="C13" s="471"/>
      <c r="D13" s="473" t="s">
        <v>2636</v>
      </c>
      <c r="E13" s="471" t="s">
        <v>2642</v>
      </c>
      <c r="F13" s="473" t="s">
        <v>106</v>
      </c>
      <c r="G13" s="474" t="s">
        <v>2650</v>
      </c>
      <c r="H13" s="475">
        <v>44280.0</v>
      </c>
      <c r="I13" s="476"/>
      <c r="J13" s="481" t="s">
        <v>2660</v>
      </c>
    </row>
    <row r="14">
      <c r="A14" s="601" t="s">
        <v>2661</v>
      </c>
      <c r="B14" s="604" t="s">
        <v>2662</v>
      </c>
      <c r="C14" s="604"/>
      <c r="D14" s="598" t="s">
        <v>2636</v>
      </c>
      <c r="E14" s="608" t="s">
        <v>2644</v>
      </c>
      <c r="F14" s="598" t="s">
        <v>448</v>
      </c>
      <c r="G14" s="605" t="s">
        <v>2663</v>
      </c>
      <c r="H14" s="603">
        <v>44280.0</v>
      </c>
      <c r="I14" s="530" t="s">
        <v>2664</v>
      </c>
      <c r="J14" s="289"/>
    </row>
    <row r="15">
      <c r="A15" s="482" t="s">
        <v>107</v>
      </c>
      <c r="B15" s="471" t="s">
        <v>2306</v>
      </c>
      <c r="C15" s="471"/>
      <c r="D15" s="473" t="s">
        <v>2636</v>
      </c>
      <c r="E15" s="471" t="s">
        <v>2642</v>
      </c>
      <c r="F15" s="473" t="s">
        <v>131</v>
      </c>
      <c r="G15" s="474" t="s">
        <v>2650</v>
      </c>
      <c r="H15" s="475">
        <v>44273.0</v>
      </c>
      <c r="I15" s="476"/>
      <c r="J15" s="476" t="s">
        <v>2665</v>
      </c>
    </row>
    <row r="16">
      <c r="A16" s="470" t="s">
        <v>2441</v>
      </c>
      <c r="B16" s="471" t="s">
        <v>2666</v>
      </c>
      <c r="C16" s="471"/>
      <c r="D16" s="473" t="s">
        <v>2636</v>
      </c>
      <c r="E16" s="471" t="s">
        <v>2667</v>
      </c>
      <c r="F16" s="473" t="s">
        <v>439</v>
      </c>
      <c r="G16" s="474" t="s">
        <v>2650</v>
      </c>
      <c r="H16" s="475">
        <v>44277.0</v>
      </c>
      <c r="I16" s="476"/>
      <c r="J16" s="476" t="s">
        <v>2665</v>
      </c>
    </row>
    <row r="17">
      <c r="A17" s="470" t="s">
        <v>2441</v>
      </c>
      <c r="B17" s="471" t="s">
        <v>2666</v>
      </c>
      <c r="C17" s="471"/>
      <c r="D17" s="473" t="s">
        <v>2636</v>
      </c>
      <c r="E17" s="471" t="s">
        <v>2667</v>
      </c>
      <c r="F17" s="473" t="s">
        <v>444</v>
      </c>
      <c r="G17" s="474" t="s">
        <v>2645</v>
      </c>
      <c r="H17" s="475">
        <v>44277.0</v>
      </c>
      <c r="I17" s="476"/>
      <c r="J17" s="481" t="s">
        <v>2660</v>
      </c>
    </row>
    <row r="18">
      <c r="A18" s="486" t="s">
        <v>2324</v>
      </c>
      <c r="B18" s="471" t="s">
        <v>2082</v>
      </c>
      <c r="C18" s="471"/>
      <c r="D18" s="473" t="s">
        <v>2636</v>
      </c>
      <c r="E18" s="471" t="s">
        <v>2668</v>
      </c>
      <c r="F18" s="473" t="s">
        <v>37</v>
      </c>
      <c r="G18" s="474" t="s">
        <v>2638</v>
      </c>
      <c r="H18" s="475">
        <v>44292.0</v>
      </c>
      <c r="I18" s="476"/>
      <c r="J18" s="476" t="s">
        <v>2665</v>
      </c>
    </row>
    <row r="19">
      <c r="A19" s="601" t="s">
        <v>480</v>
      </c>
      <c r="B19" s="604" t="s">
        <v>2646</v>
      </c>
      <c r="C19" s="604"/>
      <c r="D19" s="598" t="s">
        <v>2636</v>
      </c>
      <c r="E19" s="606" t="s">
        <v>2644</v>
      </c>
      <c r="F19" s="598" t="s">
        <v>482</v>
      </c>
      <c r="G19" s="605" t="s">
        <v>2663</v>
      </c>
      <c r="H19" s="609">
        <v>44299.0</v>
      </c>
      <c r="I19" s="530" t="s">
        <v>2669</v>
      </c>
      <c r="J19" s="289"/>
    </row>
    <row r="20">
      <c r="A20" s="470" t="s">
        <v>466</v>
      </c>
      <c r="B20" s="471" t="s">
        <v>2253</v>
      </c>
      <c r="C20" s="471"/>
      <c r="D20" s="473" t="s">
        <v>2636</v>
      </c>
      <c r="E20" s="471" t="s">
        <v>2667</v>
      </c>
      <c r="F20" s="473" t="s">
        <v>465</v>
      </c>
      <c r="G20" s="474" t="s">
        <v>2663</v>
      </c>
      <c r="H20" s="475">
        <v>44292.0</v>
      </c>
      <c r="I20" s="476"/>
      <c r="J20" s="476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10"/>
    </row>
    <row r="21">
      <c r="A21" s="470" t="s">
        <v>2318</v>
      </c>
      <c r="B21" s="471" t="s">
        <v>2671</v>
      </c>
      <c r="C21" s="471"/>
      <c r="D21" s="473" t="s">
        <v>2636</v>
      </c>
      <c r="E21" s="471" t="s">
        <v>2672</v>
      </c>
      <c r="F21" s="473" t="s">
        <v>266</v>
      </c>
      <c r="G21" s="474" t="s">
        <v>2673</v>
      </c>
      <c r="H21" s="475">
        <v>44292.0</v>
      </c>
      <c r="I21" s="476"/>
      <c r="J21" s="476" t="s">
        <v>2665</v>
      </c>
    </row>
    <row r="22">
      <c r="A22" s="531" t="s">
        <v>2285</v>
      </c>
      <c r="B22" s="611" t="s">
        <v>2662</v>
      </c>
      <c r="C22" s="612"/>
      <c r="D22" s="612" t="s">
        <v>2636</v>
      </c>
      <c r="E22" s="611" t="s">
        <v>2644</v>
      </c>
      <c r="F22" s="612" t="s">
        <v>167</v>
      </c>
      <c r="G22" s="613" t="s">
        <v>2645</v>
      </c>
      <c r="H22" s="614">
        <v>44306.0</v>
      </c>
      <c r="I22" s="530" t="s">
        <v>2674</v>
      </c>
      <c r="J22" s="289"/>
    </row>
    <row r="23">
      <c r="A23" s="601" t="s">
        <v>2330</v>
      </c>
      <c r="B23" s="604" t="s">
        <v>2331</v>
      </c>
      <c r="C23" s="598"/>
      <c r="D23" s="598" t="s">
        <v>2636</v>
      </c>
      <c r="E23" s="604" t="s">
        <v>2675</v>
      </c>
      <c r="F23" s="598" t="s">
        <v>145</v>
      </c>
      <c r="G23" s="605" t="s">
        <v>2645</v>
      </c>
      <c r="H23" s="603">
        <v>44307.0</v>
      </c>
      <c r="I23" s="530" t="s">
        <v>2676</v>
      </c>
      <c r="J23" s="289"/>
    </row>
    <row r="24">
      <c r="A24" s="615" t="s">
        <v>2284</v>
      </c>
      <c r="B24" s="471" t="s">
        <v>231</v>
      </c>
      <c r="C24" s="473"/>
      <c r="D24" s="473" t="s">
        <v>2636</v>
      </c>
      <c r="E24" s="616" t="s">
        <v>2714</v>
      </c>
      <c r="F24" s="473" t="s">
        <v>230</v>
      </c>
      <c r="G24" s="474" t="s">
        <v>2638</v>
      </c>
      <c r="H24" s="475">
        <v>44306.0</v>
      </c>
      <c r="I24" s="476"/>
      <c r="J24" s="476"/>
      <c r="K24" s="610"/>
      <c r="L24" s="610"/>
      <c r="M24" s="610"/>
      <c r="N24" s="610"/>
      <c r="O24" s="610"/>
      <c r="P24" s="610"/>
      <c r="Q24" s="610"/>
      <c r="R24" s="610"/>
      <c r="S24" s="610"/>
      <c r="T24" s="610"/>
      <c r="U24" s="610"/>
      <c r="V24" s="610"/>
      <c r="W24" s="610"/>
      <c r="X24" s="610"/>
      <c r="Y24" s="610"/>
      <c r="Z24" s="610"/>
      <c r="AA24" s="610"/>
    </row>
    <row r="25">
      <c r="A25" s="601" t="s">
        <v>239</v>
      </c>
      <c r="B25" s="604" t="s">
        <v>422</v>
      </c>
      <c r="C25" s="598"/>
      <c r="D25" s="598" t="s">
        <v>2636</v>
      </c>
      <c r="E25" s="604" t="s">
        <v>2642</v>
      </c>
      <c r="F25" s="598" t="s">
        <v>238</v>
      </c>
      <c r="G25" s="605" t="s">
        <v>2638</v>
      </c>
      <c r="H25" s="603">
        <v>44307.0</v>
      </c>
      <c r="I25" s="530" t="s">
        <v>2677</v>
      </c>
      <c r="J25" s="289"/>
    </row>
    <row r="26">
      <c r="A26" s="617" t="s">
        <v>2318</v>
      </c>
      <c r="B26" s="618" t="s">
        <v>2671</v>
      </c>
      <c r="C26" s="619"/>
      <c r="D26" s="619" t="s">
        <v>2636</v>
      </c>
      <c r="E26" s="618" t="s">
        <v>2672</v>
      </c>
      <c r="F26" s="619" t="s">
        <v>266</v>
      </c>
      <c r="G26" s="620" t="s">
        <v>2650</v>
      </c>
      <c r="H26" s="621">
        <v>44319.0</v>
      </c>
      <c r="I26" s="622"/>
      <c r="J26" s="622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</row>
    <row r="27">
      <c r="A27" s="601" t="s">
        <v>2322</v>
      </c>
      <c r="B27" s="604" t="s">
        <v>2323</v>
      </c>
      <c r="C27" s="598"/>
      <c r="D27" s="598" t="s">
        <v>2636</v>
      </c>
      <c r="E27" s="604" t="s">
        <v>2652</v>
      </c>
      <c r="F27" s="598" t="s">
        <v>65</v>
      </c>
      <c r="G27" s="605" t="s">
        <v>2638</v>
      </c>
      <c r="H27" s="623">
        <v>44319.0</v>
      </c>
      <c r="I27" s="530" t="s">
        <v>2678</v>
      </c>
      <c r="J27" s="289"/>
    </row>
    <row r="28">
      <c r="A28" s="601" t="s">
        <v>294</v>
      </c>
      <c r="B28" s="604" t="s">
        <v>2679</v>
      </c>
      <c r="C28" s="598"/>
      <c r="D28" s="598" t="s">
        <v>2636</v>
      </c>
      <c r="E28" s="604" t="s">
        <v>2806</v>
      </c>
      <c r="F28" s="598" t="s">
        <v>303</v>
      </c>
      <c r="G28" s="605" t="s">
        <v>2663</v>
      </c>
      <c r="H28" s="623">
        <v>44321.0</v>
      </c>
      <c r="I28" s="624" t="s">
        <v>2680</v>
      </c>
      <c r="J28" s="289"/>
    </row>
    <row r="29">
      <c r="A29" s="601" t="s">
        <v>325</v>
      </c>
      <c r="B29" s="604" t="s">
        <v>2309</v>
      </c>
      <c r="C29" s="598"/>
      <c r="D29" s="598" t="s">
        <v>2636</v>
      </c>
      <c r="E29" s="604" t="s">
        <v>2681</v>
      </c>
      <c r="F29" s="598" t="s">
        <v>324</v>
      </c>
      <c r="G29" s="605" t="s">
        <v>2673</v>
      </c>
      <c r="H29" s="623">
        <v>44319.0</v>
      </c>
      <c r="I29" s="530" t="s">
        <v>2682</v>
      </c>
      <c r="J29" s="289"/>
    </row>
    <row r="30">
      <c r="A30" s="601" t="s">
        <v>2328</v>
      </c>
      <c r="B30" s="604" t="s">
        <v>1388</v>
      </c>
      <c r="C30" s="598"/>
      <c r="D30" s="598" t="s">
        <v>2636</v>
      </c>
      <c r="E30" s="604" t="s">
        <v>2658</v>
      </c>
      <c r="F30" s="598" t="s">
        <v>2683</v>
      </c>
      <c r="G30" s="605" t="s">
        <v>2684</v>
      </c>
      <c r="H30" s="623">
        <v>44316.0</v>
      </c>
      <c r="I30" s="530" t="s">
        <v>2685</v>
      </c>
      <c r="J30" s="289"/>
    </row>
    <row r="31">
      <c r="A31" s="601" t="s">
        <v>2328</v>
      </c>
      <c r="B31" s="604" t="s">
        <v>1388</v>
      </c>
      <c r="C31" s="598"/>
      <c r="D31" s="598" t="s">
        <v>2636</v>
      </c>
      <c r="E31" s="604" t="s">
        <v>2658</v>
      </c>
      <c r="F31" s="598" t="s">
        <v>2686</v>
      </c>
      <c r="G31" s="605" t="s">
        <v>2684</v>
      </c>
      <c r="H31" s="623">
        <v>44316.0</v>
      </c>
      <c r="I31" s="289"/>
      <c r="J31" s="289"/>
    </row>
    <row r="32">
      <c r="A32" s="601" t="s">
        <v>96</v>
      </c>
      <c r="B32" s="604" t="s">
        <v>2646</v>
      </c>
      <c r="C32" s="598"/>
      <c r="D32" s="598" t="s">
        <v>2636</v>
      </c>
      <c r="E32" s="625" t="s">
        <v>2644</v>
      </c>
      <c r="F32" s="598" t="s">
        <v>95</v>
      </c>
      <c r="G32" s="528" t="s">
        <v>2663</v>
      </c>
      <c r="H32" s="529">
        <v>44328.0</v>
      </c>
      <c r="I32" s="289"/>
      <c r="J32" s="289"/>
    </row>
    <row r="33">
      <c r="A33" s="531" t="s">
        <v>2689</v>
      </c>
      <c r="B33" s="527" t="s">
        <v>2486</v>
      </c>
      <c r="C33" s="289"/>
      <c r="D33" s="528" t="s">
        <v>2636</v>
      </c>
      <c r="E33" s="553" t="s">
        <v>2690</v>
      </c>
      <c r="F33" s="528" t="s">
        <v>513</v>
      </c>
      <c r="G33" s="626" t="s">
        <v>2663</v>
      </c>
      <c r="H33" s="627">
        <v>44349.0</v>
      </c>
      <c r="I33" s="289"/>
      <c r="J33" s="289"/>
    </row>
    <row r="34">
      <c r="A34" s="531" t="s">
        <v>2691</v>
      </c>
      <c r="B34" s="527" t="s">
        <v>2692</v>
      </c>
      <c r="C34" s="289"/>
      <c r="D34" s="528" t="s">
        <v>2636</v>
      </c>
      <c r="E34" s="553" t="s">
        <v>2693</v>
      </c>
      <c r="F34" s="528" t="s">
        <v>410</v>
      </c>
      <c r="G34" s="628" t="s">
        <v>2650</v>
      </c>
      <c r="H34" s="629">
        <v>44349.0</v>
      </c>
      <c r="I34" s="289"/>
      <c r="J34" s="289"/>
    </row>
    <row r="35">
      <c r="A35" s="531" t="s">
        <v>1859</v>
      </c>
      <c r="B35" s="553" t="s">
        <v>422</v>
      </c>
      <c r="C35" s="289"/>
      <c r="D35" s="528" t="s">
        <v>2636</v>
      </c>
      <c r="E35" s="553" t="s">
        <v>2642</v>
      </c>
      <c r="F35" s="532" t="s">
        <v>581</v>
      </c>
      <c r="G35" s="628" t="s">
        <v>2650</v>
      </c>
      <c r="H35" s="629">
        <v>44343.0</v>
      </c>
      <c r="I35" s="530" t="s">
        <v>2695</v>
      </c>
      <c r="J35" s="289"/>
    </row>
    <row r="36">
      <c r="A36" s="630" t="s">
        <v>2696</v>
      </c>
      <c r="B36" s="631" t="s">
        <v>2697</v>
      </c>
      <c r="C36" s="632"/>
      <c r="D36" s="528" t="s">
        <v>2636</v>
      </c>
      <c r="E36" s="633" t="s">
        <v>2667</v>
      </c>
      <c r="F36" s="532" t="s">
        <v>652</v>
      </c>
      <c r="G36" s="238" t="s">
        <v>2650</v>
      </c>
      <c r="H36" s="529">
        <v>44378.0</v>
      </c>
      <c r="I36" s="289"/>
      <c r="J36" s="289"/>
    </row>
    <row r="37">
      <c r="A37" s="630" t="s">
        <v>251</v>
      </c>
      <c r="B37" s="631" t="s">
        <v>400</v>
      </c>
      <c r="C37" s="632"/>
      <c r="D37" s="528" t="s">
        <v>2636</v>
      </c>
      <c r="E37" s="633" t="s">
        <v>2644</v>
      </c>
      <c r="F37" s="532" t="s">
        <v>662</v>
      </c>
      <c r="G37" s="528" t="s">
        <v>2650</v>
      </c>
      <c r="H37" s="529">
        <v>44378.0</v>
      </c>
      <c r="I37" s="289"/>
      <c r="J37" s="289"/>
    </row>
    <row r="38">
      <c r="A38" s="634" t="s">
        <v>2696</v>
      </c>
      <c r="B38" s="631" t="s">
        <v>2697</v>
      </c>
      <c r="C38" s="632"/>
      <c r="D38" s="528" t="s">
        <v>2636</v>
      </c>
      <c r="E38" s="633" t="s">
        <v>2667</v>
      </c>
      <c r="F38" s="532" t="s">
        <v>665</v>
      </c>
      <c r="G38" s="238" t="s">
        <v>2650</v>
      </c>
      <c r="H38" s="529">
        <v>44378.0</v>
      </c>
      <c r="I38" s="289"/>
      <c r="J38" s="289"/>
    </row>
    <row r="39">
      <c r="A39" s="635" t="s">
        <v>676</v>
      </c>
      <c r="B39" s="636" t="s">
        <v>2701</v>
      </c>
      <c r="C39" s="637"/>
      <c r="D39" s="528" t="s">
        <v>2636</v>
      </c>
      <c r="E39" s="638" t="s">
        <v>2702</v>
      </c>
      <c r="F39" s="628" t="s">
        <v>675</v>
      </c>
      <c r="G39" s="528" t="s">
        <v>2645</v>
      </c>
      <c r="H39" s="529">
        <v>44390.0</v>
      </c>
      <c r="I39" s="622"/>
      <c r="J39" s="622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235"/>
      <c r="Y39" s="235"/>
      <c r="Z39" s="235"/>
      <c r="AA39" s="235"/>
    </row>
    <row r="40">
      <c r="A40" s="639" t="s">
        <v>314</v>
      </c>
      <c r="B40" s="640" t="s">
        <v>2704</v>
      </c>
      <c r="C40" s="637"/>
      <c r="D40" s="528" t="s">
        <v>2636</v>
      </c>
      <c r="E40" s="527" t="s">
        <v>2649</v>
      </c>
      <c r="F40" s="628" t="s">
        <v>313</v>
      </c>
      <c r="G40" s="528" t="s">
        <v>2645</v>
      </c>
      <c r="H40" s="529">
        <v>44390.0</v>
      </c>
      <c r="I40" s="289"/>
      <c r="J40" s="289"/>
    </row>
    <row r="41">
      <c r="A41" s="641" t="s">
        <v>466</v>
      </c>
      <c r="B41" s="275" t="s">
        <v>2253</v>
      </c>
      <c r="C41" s="275"/>
      <c r="D41" s="260" t="s">
        <v>2636</v>
      </c>
      <c r="E41" s="275" t="s">
        <v>2667</v>
      </c>
      <c r="F41" s="260" t="s">
        <v>465</v>
      </c>
      <c r="G41" s="265" t="s">
        <v>2663</v>
      </c>
      <c r="H41" s="529">
        <v>44397.0</v>
      </c>
      <c r="I41" s="289"/>
      <c r="J41" s="289"/>
    </row>
    <row r="42">
      <c r="A42" s="641" t="s">
        <v>2318</v>
      </c>
      <c r="B42" s="275" t="s">
        <v>2671</v>
      </c>
      <c r="C42" s="260"/>
      <c r="D42" s="260" t="s">
        <v>2636</v>
      </c>
      <c r="E42" s="275" t="s">
        <v>2672</v>
      </c>
      <c r="F42" s="260" t="s">
        <v>266</v>
      </c>
      <c r="G42" s="265" t="s">
        <v>2650</v>
      </c>
      <c r="H42" s="529">
        <v>44397.0</v>
      </c>
      <c r="I42" s="289"/>
      <c r="J42" s="289"/>
    </row>
    <row r="43">
      <c r="A43" s="552" t="s">
        <v>619</v>
      </c>
      <c r="B43" s="527" t="s">
        <v>2710</v>
      </c>
      <c r="C43" s="528"/>
      <c r="D43" s="528" t="s">
        <v>2711</v>
      </c>
      <c r="E43" s="275" t="s">
        <v>2712</v>
      </c>
      <c r="F43" s="628" t="s">
        <v>618</v>
      </c>
      <c r="G43" s="528" t="s">
        <v>2650</v>
      </c>
      <c r="H43" s="529">
        <v>44397.0</v>
      </c>
      <c r="I43" s="289"/>
      <c r="J43" s="289"/>
    </row>
    <row r="44">
      <c r="A44" s="526" t="s">
        <v>2691</v>
      </c>
      <c r="B44" s="527" t="s">
        <v>2692</v>
      </c>
      <c r="C44" s="289"/>
      <c r="D44" s="528" t="s">
        <v>2636</v>
      </c>
      <c r="E44" s="553" t="s">
        <v>2693</v>
      </c>
      <c r="F44" s="528" t="s">
        <v>410</v>
      </c>
      <c r="G44" s="642" t="s">
        <v>2663</v>
      </c>
      <c r="H44" s="529">
        <v>44397.0</v>
      </c>
      <c r="I44" s="643" t="s">
        <v>2807</v>
      </c>
      <c r="J44" s="289"/>
    </row>
    <row r="45">
      <c r="A45" s="531" t="s">
        <v>96</v>
      </c>
      <c r="B45" s="527" t="s">
        <v>2646</v>
      </c>
      <c r="C45" s="528"/>
      <c r="D45" s="528" t="s">
        <v>2636</v>
      </c>
      <c r="E45" s="640" t="s">
        <v>2644</v>
      </c>
      <c r="F45" s="528" t="s">
        <v>95</v>
      </c>
      <c r="G45" s="642" t="s">
        <v>2663</v>
      </c>
      <c r="H45" s="529">
        <v>44397.0</v>
      </c>
      <c r="I45" s="644" t="s">
        <v>2807</v>
      </c>
    </row>
    <row r="46">
      <c r="A46" s="645" t="s">
        <v>2284</v>
      </c>
      <c r="B46" s="275" t="s">
        <v>231</v>
      </c>
      <c r="C46" s="260"/>
      <c r="D46" s="260" t="s">
        <v>2636</v>
      </c>
      <c r="E46" s="646" t="s">
        <v>2714</v>
      </c>
      <c r="F46" s="339" t="s">
        <v>230</v>
      </c>
      <c r="G46" s="339" t="s">
        <v>2663</v>
      </c>
      <c r="H46" s="529">
        <v>44397.0</v>
      </c>
    </row>
    <row r="47">
      <c r="A47" s="647" t="s">
        <v>107</v>
      </c>
      <c r="B47" s="604" t="s">
        <v>2306</v>
      </c>
      <c r="C47" s="233" t="s">
        <v>108</v>
      </c>
      <c r="D47" s="598" t="s">
        <v>2636</v>
      </c>
      <c r="E47" s="604" t="s">
        <v>2642</v>
      </c>
      <c r="F47" s="598" t="s">
        <v>106</v>
      </c>
      <c r="G47" s="238" t="s">
        <v>2650</v>
      </c>
      <c r="H47" s="529">
        <v>44404.0</v>
      </c>
    </row>
    <row r="48">
      <c r="A48" s="648" t="s">
        <v>504</v>
      </c>
      <c r="B48" s="640" t="s">
        <v>2716</v>
      </c>
      <c r="C48" s="238" t="s">
        <v>505</v>
      </c>
      <c r="D48" s="598" t="s">
        <v>2636</v>
      </c>
      <c r="E48" s="638" t="s">
        <v>2667</v>
      </c>
      <c r="F48" s="238" t="s">
        <v>503</v>
      </c>
      <c r="G48" s="528" t="s">
        <v>2638</v>
      </c>
      <c r="H48" s="529">
        <v>44403.0</v>
      </c>
    </row>
    <row r="49">
      <c r="A49" s="601" t="s">
        <v>2441</v>
      </c>
      <c r="B49" s="604" t="s">
        <v>2697</v>
      </c>
      <c r="C49" s="238">
        <v>13040.0</v>
      </c>
      <c r="D49" s="598" t="s">
        <v>2636</v>
      </c>
      <c r="E49" s="604" t="s">
        <v>2667</v>
      </c>
      <c r="F49" s="238" t="s">
        <v>444</v>
      </c>
      <c r="G49" s="238" t="s">
        <v>2638</v>
      </c>
      <c r="H49" s="529">
        <v>44404.0</v>
      </c>
    </row>
    <row r="50">
      <c r="A50" s="289" t="s">
        <v>2718</v>
      </c>
      <c r="B50" s="289" t="s">
        <v>2719</v>
      </c>
      <c r="C50" s="289"/>
      <c r="D50" s="238" t="s">
        <v>2636</v>
      </c>
      <c r="E50" s="289" t="s">
        <v>2658</v>
      </c>
      <c r="F50" s="238" t="s">
        <v>780</v>
      </c>
      <c r="G50" s="238" t="s">
        <v>2673</v>
      </c>
      <c r="H50" s="529">
        <v>44403.0</v>
      </c>
    </row>
    <row r="51">
      <c r="A51" s="574" t="s">
        <v>748</v>
      </c>
      <c r="B51" s="289" t="s">
        <v>1121</v>
      </c>
      <c r="C51" s="289"/>
      <c r="D51" s="238" t="s">
        <v>2721</v>
      </c>
      <c r="E51" s="289" t="s">
        <v>2722</v>
      </c>
      <c r="F51" s="238" t="s">
        <v>747</v>
      </c>
      <c r="G51" s="238" t="s">
        <v>2645</v>
      </c>
      <c r="H51" s="529">
        <v>44403.0</v>
      </c>
    </row>
    <row r="52">
      <c r="A52" s="574" t="s">
        <v>722</v>
      </c>
      <c r="B52" s="289" t="s">
        <v>2808</v>
      </c>
      <c r="C52" s="289"/>
      <c r="D52" s="238" t="s">
        <v>2809</v>
      </c>
      <c r="E52" s="559" t="s">
        <v>722</v>
      </c>
      <c r="F52" s="238" t="s">
        <v>721</v>
      </c>
      <c r="G52" s="238" t="s">
        <v>2645</v>
      </c>
      <c r="H52" s="649">
        <v>44418.0</v>
      </c>
    </row>
    <row r="53">
      <c r="A53" s="574" t="s">
        <v>744</v>
      </c>
      <c r="B53" s="289" t="s">
        <v>2662</v>
      </c>
      <c r="C53" s="289"/>
      <c r="D53" s="238" t="s">
        <v>2721</v>
      </c>
      <c r="E53" s="640" t="s">
        <v>2644</v>
      </c>
      <c r="F53" s="238" t="s">
        <v>743</v>
      </c>
      <c r="G53" s="238" t="s">
        <v>2650</v>
      </c>
      <c r="H53" s="649">
        <v>44418.0</v>
      </c>
    </row>
    <row r="54">
      <c r="A54" s="574" t="s">
        <v>552</v>
      </c>
      <c r="B54" s="289" t="s">
        <v>2810</v>
      </c>
      <c r="C54" s="289"/>
      <c r="D54" s="238" t="s">
        <v>2809</v>
      </c>
      <c r="E54" s="559" t="s">
        <v>2727</v>
      </c>
      <c r="F54" s="238" t="s">
        <v>2728</v>
      </c>
      <c r="G54" s="238" t="s">
        <v>2663</v>
      </c>
      <c r="H54" s="649">
        <v>44424.0</v>
      </c>
    </row>
    <row r="55">
      <c r="A55" s="650" t="s">
        <v>525</v>
      </c>
      <c r="B55" s="289" t="s">
        <v>2811</v>
      </c>
      <c r="C55" s="289"/>
      <c r="D55" s="238" t="s">
        <v>2721</v>
      </c>
      <c r="E55" s="640" t="s">
        <v>2644</v>
      </c>
      <c r="F55" s="238" t="s">
        <v>2730</v>
      </c>
      <c r="G55" s="238" t="s">
        <v>2645</v>
      </c>
      <c r="H55" s="651">
        <v>44418.0</v>
      </c>
    </row>
    <row r="56">
      <c r="A56" s="574" t="s">
        <v>796</v>
      </c>
      <c r="B56" s="289" t="s">
        <v>2259</v>
      </c>
      <c r="C56" s="289"/>
      <c r="D56" s="238" t="s">
        <v>2721</v>
      </c>
      <c r="E56" s="559" t="s">
        <v>2690</v>
      </c>
      <c r="F56" s="238" t="s">
        <v>795</v>
      </c>
      <c r="G56" s="238" t="s">
        <v>2645</v>
      </c>
      <c r="H56" s="649">
        <v>44426.0</v>
      </c>
    </row>
    <row r="57">
      <c r="A57" s="552" t="s">
        <v>790</v>
      </c>
      <c r="B57" s="559" t="s">
        <v>2812</v>
      </c>
      <c r="C57" s="238"/>
      <c r="D57" s="238" t="s">
        <v>2721</v>
      </c>
      <c r="E57" s="559" t="s">
        <v>2734</v>
      </c>
      <c r="F57" s="238" t="s">
        <v>786</v>
      </c>
      <c r="G57" s="238" t="s">
        <v>2645</v>
      </c>
      <c r="H57" s="649">
        <v>44426.0</v>
      </c>
    </row>
    <row r="58">
      <c r="A58" s="552" t="s">
        <v>2736</v>
      </c>
      <c r="B58" s="559" t="s">
        <v>2813</v>
      </c>
      <c r="C58" s="238"/>
      <c r="D58" s="238" t="s">
        <v>2721</v>
      </c>
      <c r="E58" s="559" t="s">
        <v>2738</v>
      </c>
      <c r="F58" s="238" t="s">
        <v>802</v>
      </c>
      <c r="G58" s="238" t="s">
        <v>2814</v>
      </c>
      <c r="H58" s="649">
        <v>44442.0</v>
      </c>
    </row>
    <row r="59">
      <c r="A59" s="289" t="s">
        <v>2438</v>
      </c>
      <c r="B59" s="289" t="s">
        <v>2815</v>
      </c>
      <c r="C59" s="289"/>
      <c r="D59" s="238" t="s">
        <v>2721</v>
      </c>
      <c r="E59" s="527" t="s">
        <v>2642</v>
      </c>
      <c r="F59" s="238" t="s">
        <v>131</v>
      </c>
      <c r="G59" s="238" t="s">
        <v>2645</v>
      </c>
      <c r="H59" s="652">
        <v>44454.0</v>
      </c>
      <c r="I59" s="653" t="s">
        <v>2816</v>
      </c>
    </row>
    <row r="60">
      <c r="A60" s="544" t="s">
        <v>294</v>
      </c>
      <c r="B60" s="545" t="s">
        <v>2304</v>
      </c>
      <c r="C60" s="654" t="s">
        <v>300</v>
      </c>
      <c r="D60" s="238" t="s">
        <v>2721</v>
      </c>
      <c r="E60" s="553" t="s">
        <v>2644</v>
      </c>
      <c r="F60" s="238" t="s">
        <v>298</v>
      </c>
      <c r="G60" s="238" t="s">
        <v>2638</v>
      </c>
      <c r="H60" s="652">
        <v>44456.0</v>
      </c>
    </row>
    <row r="61">
      <c r="A61" s="569" t="s">
        <v>456</v>
      </c>
      <c r="B61" s="545" t="s">
        <v>2742</v>
      </c>
      <c r="C61" s="628" t="s">
        <v>457</v>
      </c>
      <c r="D61" s="238" t="s">
        <v>2721</v>
      </c>
      <c r="E61" s="553" t="s">
        <v>2644</v>
      </c>
      <c r="F61" s="238" t="s">
        <v>2743</v>
      </c>
      <c r="G61" s="238" t="s">
        <v>2663</v>
      </c>
      <c r="H61" s="652">
        <v>44456.0</v>
      </c>
    </row>
    <row r="62">
      <c r="A62" s="558" t="s">
        <v>2440</v>
      </c>
      <c r="B62" s="559" t="s">
        <v>2303</v>
      </c>
      <c r="C62" s="560" t="s">
        <v>558</v>
      </c>
      <c r="D62" s="238" t="s">
        <v>2721</v>
      </c>
      <c r="E62" s="655" t="s">
        <v>2690</v>
      </c>
      <c r="F62" s="238" t="s">
        <v>557</v>
      </c>
      <c r="G62" s="238" t="s">
        <v>2650</v>
      </c>
      <c r="H62" s="652">
        <v>44456.0</v>
      </c>
    </row>
    <row r="63">
      <c r="A63" s="596" t="s">
        <v>480</v>
      </c>
      <c r="B63" s="597" t="s">
        <v>2646</v>
      </c>
      <c r="C63" s="654" t="s">
        <v>843</v>
      </c>
      <c r="D63" s="238" t="s">
        <v>2721</v>
      </c>
      <c r="E63" s="553" t="s">
        <v>2644</v>
      </c>
      <c r="F63" s="238" t="s">
        <v>841</v>
      </c>
      <c r="G63" s="238" t="s">
        <v>2645</v>
      </c>
      <c r="H63" s="656">
        <v>44469.0</v>
      </c>
    </row>
    <row r="64">
      <c r="A64" s="657" t="s">
        <v>2285</v>
      </c>
      <c r="B64" s="545" t="s">
        <v>2286</v>
      </c>
      <c r="C64" s="560">
        <v>2.9435071E7</v>
      </c>
      <c r="D64" s="238" t="s">
        <v>2721</v>
      </c>
      <c r="E64" s="553" t="s">
        <v>2644</v>
      </c>
      <c r="F64" s="238" t="s">
        <v>819</v>
      </c>
      <c r="G64" s="238" t="s">
        <v>2650</v>
      </c>
      <c r="H64" s="656">
        <v>44469.0</v>
      </c>
    </row>
    <row r="65">
      <c r="A65" s="658" t="s">
        <v>2284</v>
      </c>
      <c r="B65" s="545" t="s">
        <v>231</v>
      </c>
      <c r="C65" s="560">
        <v>20702.0</v>
      </c>
      <c r="D65" s="238" t="s">
        <v>2721</v>
      </c>
      <c r="E65" s="545" t="s">
        <v>2714</v>
      </c>
      <c r="F65" s="238" t="s">
        <v>827</v>
      </c>
      <c r="G65" s="238" t="s">
        <v>2638</v>
      </c>
      <c r="H65" s="656">
        <v>44469.0</v>
      </c>
    </row>
    <row r="66">
      <c r="A66" s="569" t="s">
        <v>2461</v>
      </c>
      <c r="B66" s="545" t="s">
        <v>2746</v>
      </c>
      <c r="C66" s="238">
        <v>2.7917539E7</v>
      </c>
      <c r="D66" s="238" t="s">
        <v>2721</v>
      </c>
      <c r="E66" s="545" t="s">
        <v>2747</v>
      </c>
      <c r="F66" s="238" t="s">
        <v>836</v>
      </c>
      <c r="G66" s="238" t="s">
        <v>2645</v>
      </c>
      <c r="H66" s="656">
        <v>44469.0</v>
      </c>
    </row>
    <row r="67">
      <c r="A67" s="569" t="s">
        <v>2473</v>
      </c>
      <c r="B67" s="546" t="s">
        <v>694</v>
      </c>
      <c r="C67" s="654">
        <v>2.7918709E7</v>
      </c>
      <c r="D67" s="238" t="s">
        <v>2721</v>
      </c>
      <c r="E67" s="545" t="s">
        <v>2644</v>
      </c>
      <c r="F67" s="238" t="s">
        <v>846</v>
      </c>
      <c r="G67" s="238" t="s">
        <v>2645</v>
      </c>
      <c r="H67" s="656">
        <v>44474.0</v>
      </c>
    </row>
    <row r="68">
      <c r="A68" s="569" t="s">
        <v>831</v>
      </c>
      <c r="B68" s="546" t="s">
        <v>2283</v>
      </c>
      <c r="C68" s="659">
        <v>1.7968259E7</v>
      </c>
      <c r="D68" s="238" t="s">
        <v>2721</v>
      </c>
      <c r="E68" s="545" t="s">
        <v>2644</v>
      </c>
      <c r="F68" s="238" t="s">
        <v>830</v>
      </c>
      <c r="G68" s="238" t="s">
        <v>2650</v>
      </c>
      <c r="H68" s="656">
        <v>44474.0</v>
      </c>
    </row>
    <row r="76">
      <c r="A76" s="660"/>
      <c r="B76" s="408"/>
      <c r="C76" s="408"/>
      <c r="D76" s="582"/>
    </row>
    <row r="77">
      <c r="A77" s="660"/>
      <c r="B77" s="390"/>
      <c r="C77" s="390"/>
    </row>
    <row r="78">
      <c r="A78" s="661"/>
      <c r="B78" s="390"/>
      <c r="C78" s="390"/>
    </row>
    <row r="79">
      <c r="A79" s="662"/>
      <c r="B79" s="390"/>
    </row>
    <row r="80">
      <c r="A80" s="661"/>
      <c r="B80" s="390"/>
      <c r="C80" s="390"/>
    </row>
    <row r="81">
      <c r="A81" s="660"/>
      <c r="B81" s="390"/>
      <c r="C81" s="390"/>
    </row>
    <row r="82">
      <c r="A82" s="660"/>
      <c r="B82" s="390"/>
      <c r="C82" s="390"/>
    </row>
    <row r="83">
      <c r="A83" s="660"/>
      <c r="B83" s="390"/>
      <c r="C83" s="390"/>
    </row>
    <row r="84">
      <c r="A84" s="663"/>
      <c r="B84" s="390"/>
      <c r="C84" s="390"/>
    </row>
    <row r="85">
      <c r="A85" s="660"/>
      <c r="B85" s="390"/>
      <c r="C85" s="390"/>
    </row>
    <row r="86">
      <c r="A86" s="663"/>
      <c r="B86" s="390"/>
      <c r="C86" s="390"/>
    </row>
  </sheetData>
  <hyperlinks>
    <hyperlink r:id="rId1" ref="I2"/>
    <hyperlink r:id="rId2" ref="I4"/>
    <hyperlink r:id="rId3" ref="I5"/>
    <hyperlink r:id="rId4" ref="I6"/>
    <hyperlink r:id="rId5" ref="I7"/>
    <hyperlink r:id="rId6" ref="I8"/>
    <hyperlink r:id="rId7" ref="I10"/>
    <hyperlink r:id="rId8" ref="I12"/>
    <hyperlink r:id="rId9" ref="I14"/>
    <hyperlink r:id="rId10" ref="I19"/>
    <hyperlink r:id="rId11" ref="I22"/>
    <hyperlink r:id="rId12" ref="I23"/>
    <hyperlink r:id="rId13" ref="I25"/>
    <hyperlink r:id="rId14" ref="I27"/>
    <hyperlink r:id="rId15" ref="I28"/>
    <hyperlink r:id="rId16" ref="I29"/>
    <hyperlink r:id="rId17" ref="I30"/>
    <hyperlink r:id="rId18" ref="I35"/>
  </hyperlinks>
  <printOptions gridLines="1"/>
  <pageMargins bottom="0.75" footer="0.0" header="0.0" left="0.7" right="0.7" top="0.75"/>
  <pageSetup scale="50" orientation="landscape"/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7.57"/>
    <col customWidth="1" min="3" max="3" width="39.0"/>
    <col customWidth="1" min="4" max="4" width="31.71"/>
    <col customWidth="1" min="5" max="5" width="27.29"/>
    <col customWidth="1" min="6" max="6" width="33.14"/>
    <col customWidth="1" min="7" max="7" width="34.0"/>
    <col customWidth="1" min="8" max="8" width="31.86"/>
    <col customWidth="1" min="9" max="9" width="18.71"/>
    <col customWidth="1" min="10" max="10" width="43.29"/>
    <col customWidth="1" min="11" max="11" width="38.71"/>
    <col customWidth="1" min="12" max="12" width="14.71"/>
    <col customWidth="1" min="13" max="13" width="19.57"/>
    <col customWidth="1" min="14" max="14" width="19.29"/>
    <col customWidth="1" min="15" max="15" width="28.43"/>
    <col customWidth="1" min="16" max="17" width="22.14"/>
    <col customWidth="1" min="18" max="18" width="18.0"/>
    <col customWidth="1" min="19" max="19" width="32.14"/>
    <col customWidth="1" min="20" max="31" width="10.71"/>
  </cols>
  <sheetData>
    <row r="1" ht="14.25" customHeight="1">
      <c r="A1" s="304" t="s">
        <v>158</v>
      </c>
      <c r="C1" s="387"/>
    </row>
    <row r="2" ht="14.25" customHeight="1">
      <c r="C2" s="387"/>
      <c r="K2" s="388"/>
    </row>
    <row r="3" ht="14.25" customHeight="1">
      <c r="A3" s="664" t="s">
        <v>1</v>
      </c>
      <c r="B3" s="664" t="s">
        <v>2</v>
      </c>
      <c r="C3" s="664" t="s">
        <v>3</v>
      </c>
      <c r="D3" s="664" t="s">
        <v>4</v>
      </c>
      <c r="E3" s="664" t="s">
        <v>5</v>
      </c>
      <c r="F3" s="664" t="s">
        <v>1</v>
      </c>
      <c r="G3" s="664" t="s">
        <v>6</v>
      </c>
      <c r="H3" s="664" t="s">
        <v>7</v>
      </c>
      <c r="I3" s="664" t="s">
        <v>8</v>
      </c>
      <c r="J3" s="664" t="s">
        <v>9</v>
      </c>
      <c r="K3" s="664" t="s">
        <v>10</v>
      </c>
      <c r="L3" s="664" t="s">
        <v>11</v>
      </c>
      <c r="M3" s="664" t="s">
        <v>12</v>
      </c>
      <c r="N3" s="664" t="s">
        <v>2817</v>
      </c>
      <c r="O3" s="664" t="s">
        <v>13</v>
      </c>
      <c r="P3" s="664" t="s">
        <v>2818</v>
      </c>
      <c r="Q3" s="664" t="s">
        <v>14</v>
      </c>
      <c r="R3" s="664" t="s">
        <v>15</v>
      </c>
    </row>
    <row r="4" ht="14.25" customHeight="1">
      <c r="A4" s="665"/>
      <c r="C4" s="387"/>
      <c r="R4" s="666"/>
    </row>
    <row r="5" ht="14.25" customHeight="1">
      <c r="A5" s="667" t="s">
        <v>16</v>
      </c>
      <c r="B5" s="668">
        <v>43534.0</v>
      </c>
      <c r="C5" s="388" t="s">
        <v>17</v>
      </c>
      <c r="D5" s="68" t="s">
        <v>18</v>
      </c>
      <c r="E5" s="68" t="s">
        <v>19</v>
      </c>
      <c r="F5" s="68" t="s">
        <v>20</v>
      </c>
      <c r="G5" s="68" t="s">
        <v>21</v>
      </c>
      <c r="H5" s="68"/>
      <c r="I5" s="68" t="s">
        <v>22</v>
      </c>
      <c r="J5" s="68"/>
      <c r="K5" s="68" t="s">
        <v>23</v>
      </c>
      <c r="R5" s="666"/>
    </row>
    <row r="6" ht="14.25" customHeight="1">
      <c r="A6" s="667"/>
      <c r="C6" s="387"/>
      <c r="E6" s="68"/>
      <c r="F6" s="68" t="s">
        <v>24</v>
      </c>
      <c r="G6" s="68" t="s">
        <v>25</v>
      </c>
      <c r="H6" s="68"/>
      <c r="I6" s="68" t="s">
        <v>26</v>
      </c>
      <c r="J6" s="68"/>
      <c r="K6" s="68" t="s">
        <v>2819</v>
      </c>
      <c r="M6" s="669" t="s">
        <v>28</v>
      </c>
      <c r="N6" s="68" t="s">
        <v>22</v>
      </c>
      <c r="O6" s="68" t="s">
        <v>22</v>
      </c>
      <c r="P6" s="68"/>
      <c r="Q6" s="68"/>
      <c r="R6" s="670" t="s">
        <v>29</v>
      </c>
    </row>
    <row r="7" ht="14.25" customHeight="1">
      <c r="A7" s="667"/>
      <c r="C7" s="387"/>
      <c r="E7" s="68"/>
      <c r="F7" s="68" t="s">
        <v>30</v>
      </c>
      <c r="G7" s="68" t="s">
        <v>31</v>
      </c>
      <c r="H7" s="68"/>
      <c r="I7" s="68" t="s">
        <v>22</v>
      </c>
      <c r="J7" s="68"/>
      <c r="K7" s="68" t="s">
        <v>2820</v>
      </c>
      <c r="R7" s="666"/>
    </row>
    <row r="8" ht="14.25" customHeight="1">
      <c r="A8" s="665"/>
      <c r="C8" s="387"/>
      <c r="E8" s="68"/>
      <c r="F8" s="68" t="s">
        <v>33</v>
      </c>
      <c r="G8" s="68" t="s">
        <v>25</v>
      </c>
      <c r="H8" s="68"/>
      <c r="I8" s="68" t="s">
        <v>34</v>
      </c>
      <c r="J8" s="68"/>
      <c r="K8" s="68" t="s">
        <v>2821</v>
      </c>
      <c r="R8" s="666"/>
    </row>
    <row r="9" ht="14.25" customHeight="1">
      <c r="A9" s="665"/>
      <c r="C9" s="387"/>
      <c r="K9" s="68" t="s">
        <v>2822</v>
      </c>
      <c r="R9" s="666"/>
    </row>
    <row r="10" ht="14.25" customHeight="1">
      <c r="A10" s="665"/>
      <c r="C10" s="387"/>
      <c r="R10" s="666"/>
    </row>
    <row r="11" ht="14.25" customHeight="1">
      <c r="A11" s="671"/>
      <c r="B11" s="672"/>
      <c r="C11" s="673"/>
      <c r="D11" s="672"/>
      <c r="E11" s="672"/>
      <c r="F11" s="672"/>
      <c r="G11" s="672"/>
      <c r="H11" s="672"/>
      <c r="I11" s="672"/>
      <c r="J11" s="672"/>
      <c r="K11" s="672"/>
      <c r="L11" s="672"/>
      <c r="M11" s="672"/>
      <c r="N11" s="672"/>
      <c r="O11" s="672"/>
      <c r="P11" s="672"/>
      <c r="Q11" s="672"/>
      <c r="R11" s="674"/>
    </row>
    <row r="12" ht="14.25" customHeight="1">
      <c r="A12" s="667" t="s">
        <v>37</v>
      </c>
      <c r="B12" s="388" t="s">
        <v>38</v>
      </c>
      <c r="C12" s="388" t="s">
        <v>39</v>
      </c>
      <c r="D12" s="68" t="s">
        <v>40</v>
      </c>
      <c r="E12" s="68" t="s">
        <v>41</v>
      </c>
      <c r="F12" s="68" t="s">
        <v>20</v>
      </c>
      <c r="G12" s="68" t="s">
        <v>42</v>
      </c>
      <c r="H12" s="68"/>
      <c r="I12" s="68" t="s">
        <v>22</v>
      </c>
      <c r="J12" s="68"/>
      <c r="K12" s="68" t="s">
        <v>43</v>
      </c>
      <c r="L12" s="68" t="s">
        <v>44</v>
      </c>
      <c r="N12" s="68"/>
      <c r="O12" s="68" t="s">
        <v>29</v>
      </c>
      <c r="R12" s="670" t="s">
        <v>29</v>
      </c>
    </row>
    <row r="13" ht="14.25" customHeight="1">
      <c r="A13" s="667"/>
      <c r="B13" s="68"/>
      <c r="C13" s="388"/>
      <c r="D13" s="68"/>
      <c r="E13" s="68"/>
      <c r="F13" s="68" t="s">
        <v>45</v>
      </c>
      <c r="G13" s="68" t="s">
        <v>25</v>
      </c>
      <c r="H13" s="68"/>
      <c r="I13" s="68" t="s">
        <v>22</v>
      </c>
      <c r="J13" s="68"/>
      <c r="K13" s="68" t="s">
        <v>2823</v>
      </c>
      <c r="L13" s="68" t="s">
        <v>47</v>
      </c>
      <c r="R13" s="666"/>
    </row>
    <row r="14" ht="14.25" customHeight="1">
      <c r="A14" s="667"/>
      <c r="C14" s="387"/>
      <c r="K14" s="68" t="s">
        <v>2824</v>
      </c>
      <c r="R14" s="666"/>
    </row>
    <row r="15" ht="14.25" customHeight="1">
      <c r="A15" s="667"/>
      <c r="C15" s="387"/>
      <c r="K15" s="68" t="s">
        <v>2825</v>
      </c>
      <c r="R15" s="666"/>
    </row>
    <row r="16" ht="14.25" customHeight="1">
      <c r="A16" s="675"/>
      <c r="B16" s="672"/>
      <c r="C16" s="673"/>
      <c r="D16" s="672"/>
      <c r="E16" s="654"/>
      <c r="F16" s="654"/>
      <c r="G16" s="654"/>
      <c r="H16" s="654"/>
      <c r="I16" s="654"/>
      <c r="J16" s="654"/>
      <c r="K16" s="672"/>
      <c r="L16" s="672"/>
      <c r="M16" s="672"/>
      <c r="N16" s="672"/>
      <c r="O16" s="672"/>
      <c r="P16" s="672"/>
      <c r="Q16" s="672"/>
      <c r="R16" s="674"/>
    </row>
    <row r="17" ht="14.25" customHeight="1">
      <c r="A17" s="667" t="s">
        <v>50</v>
      </c>
      <c r="B17" s="668">
        <v>43627.0</v>
      </c>
      <c r="C17" s="388" t="s">
        <v>51</v>
      </c>
      <c r="D17" s="68" t="s">
        <v>52</v>
      </c>
      <c r="E17" s="68" t="s">
        <v>53</v>
      </c>
      <c r="F17" s="68" t="s">
        <v>54</v>
      </c>
      <c r="G17" s="68" t="s">
        <v>55</v>
      </c>
      <c r="H17" s="68"/>
      <c r="I17" s="68" t="s">
        <v>22</v>
      </c>
      <c r="J17" s="68"/>
      <c r="R17" s="666"/>
    </row>
    <row r="18" ht="14.25" customHeight="1">
      <c r="A18" s="667"/>
      <c r="C18" s="387"/>
      <c r="D18" s="669" t="s">
        <v>56</v>
      </c>
      <c r="E18" s="68"/>
      <c r="F18" s="68" t="s">
        <v>57</v>
      </c>
      <c r="G18" s="68" t="s">
        <v>55</v>
      </c>
      <c r="H18" s="68"/>
      <c r="I18" s="68"/>
      <c r="J18" s="68"/>
      <c r="M18" s="68"/>
      <c r="N18" s="68"/>
      <c r="O18" s="68"/>
      <c r="P18" s="68"/>
      <c r="Q18" s="68"/>
      <c r="R18" s="670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</row>
    <row r="19" ht="14.25" customHeight="1">
      <c r="A19" s="667"/>
      <c r="C19" s="387"/>
      <c r="E19" s="68"/>
      <c r="F19" s="68" t="s">
        <v>58</v>
      </c>
      <c r="G19" s="68" t="s">
        <v>25</v>
      </c>
      <c r="H19" s="68"/>
      <c r="I19" s="68"/>
      <c r="J19" s="68"/>
      <c r="R19" s="666"/>
    </row>
    <row r="20" ht="14.25" customHeight="1">
      <c r="A20" s="667"/>
      <c r="C20" s="387"/>
      <c r="E20" s="68"/>
      <c r="F20" s="68" t="s">
        <v>59</v>
      </c>
      <c r="G20" s="68" t="s">
        <v>25</v>
      </c>
      <c r="H20" s="68"/>
      <c r="I20" s="68"/>
      <c r="J20" s="68"/>
      <c r="R20" s="666"/>
    </row>
    <row r="21" ht="14.25" customHeight="1">
      <c r="A21" s="667"/>
      <c r="C21" s="387"/>
      <c r="E21" s="68"/>
      <c r="F21" s="68" t="s">
        <v>60</v>
      </c>
      <c r="G21" s="68" t="s">
        <v>55</v>
      </c>
      <c r="H21" s="68"/>
      <c r="I21" s="68"/>
      <c r="J21" s="68"/>
      <c r="R21" s="666"/>
    </row>
    <row r="22" ht="14.25" customHeight="1">
      <c r="A22" s="667"/>
      <c r="C22" s="387"/>
      <c r="E22" s="68"/>
      <c r="F22" s="68" t="s">
        <v>61</v>
      </c>
      <c r="G22" s="68" t="s">
        <v>62</v>
      </c>
      <c r="H22" s="68"/>
      <c r="I22" s="68"/>
      <c r="J22" s="68"/>
      <c r="R22" s="666"/>
    </row>
    <row r="23" ht="14.25" customHeight="1">
      <c r="A23" s="667"/>
      <c r="B23" s="388" t="s">
        <v>63</v>
      </c>
      <c r="C23" s="676" t="s">
        <v>64</v>
      </c>
      <c r="R23" s="666"/>
    </row>
    <row r="24" ht="14.25" customHeight="1">
      <c r="A24" s="667"/>
      <c r="C24" s="387"/>
      <c r="R24" s="666"/>
    </row>
    <row r="25" ht="14.25" customHeight="1">
      <c r="A25" s="671"/>
      <c r="B25" s="672"/>
      <c r="C25" s="673"/>
      <c r="D25" s="672"/>
      <c r="E25" s="672"/>
      <c r="F25" s="672"/>
      <c r="G25" s="672"/>
      <c r="H25" s="672"/>
      <c r="I25" s="672"/>
      <c r="J25" s="672"/>
      <c r="K25" s="672"/>
      <c r="L25" s="672"/>
      <c r="M25" s="672"/>
      <c r="N25" s="672"/>
      <c r="O25" s="672"/>
      <c r="P25" s="672"/>
      <c r="Q25" s="672"/>
      <c r="R25" s="674"/>
    </row>
    <row r="26" ht="14.25" customHeight="1">
      <c r="A26" s="667" t="s">
        <v>65</v>
      </c>
      <c r="B26" s="668">
        <v>43657.0</v>
      </c>
      <c r="C26" s="388" t="s">
        <v>66</v>
      </c>
      <c r="D26" s="68" t="s">
        <v>40</v>
      </c>
      <c r="E26" s="68" t="s">
        <v>67</v>
      </c>
      <c r="F26" s="68" t="s">
        <v>45</v>
      </c>
      <c r="G26" s="68" t="s">
        <v>25</v>
      </c>
      <c r="H26" s="68"/>
      <c r="I26" s="68" t="s">
        <v>22</v>
      </c>
      <c r="J26" s="68"/>
      <c r="K26" s="68" t="s">
        <v>2826</v>
      </c>
      <c r="L26" s="68" t="s">
        <v>44</v>
      </c>
      <c r="N26" s="68"/>
      <c r="O26" s="68" t="s">
        <v>29</v>
      </c>
      <c r="R26" s="670" t="s">
        <v>29</v>
      </c>
    </row>
    <row r="27" ht="14.25" customHeight="1">
      <c r="A27" s="667"/>
      <c r="B27" s="669"/>
      <c r="C27" s="387"/>
      <c r="K27" s="68" t="s">
        <v>2827</v>
      </c>
      <c r="R27" s="666"/>
    </row>
    <row r="28" ht="14.25" customHeight="1">
      <c r="A28" s="665"/>
      <c r="C28" s="387"/>
      <c r="K28" s="68" t="s">
        <v>2828</v>
      </c>
      <c r="R28" s="666"/>
    </row>
    <row r="29" ht="14.25" customHeight="1">
      <c r="A29" s="671"/>
      <c r="B29" s="672"/>
      <c r="C29" s="673"/>
      <c r="D29" s="672"/>
      <c r="E29" s="672"/>
      <c r="F29" s="672"/>
      <c r="G29" s="672"/>
      <c r="H29" s="672"/>
      <c r="I29" s="672"/>
      <c r="J29" s="672"/>
      <c r="K29" s="672"/>
      <c r="L29" s="672"/>
      <c r="M29" s="672"/>
      <c r="N29" s="672"/>
      <c r="O29" s="672"/>
      <c r="P29" s="672"/>
      <c r="Q29" s="672"/>
      <c r="R29" s="674"/>
    </row>
    <row r="30" ht="14.25" customHeight="1">
      <c r="A30" s="667" t="s">
        <v>71</v>
      </c>
      <c r="B30" s="668">
        <v>43688.0</v>
      </c>
      <c r="C30" s="388" t="s">
        <v>72</v>
      </c>
      <c r="D30" s="68" t="s">
        <v>40</v>
      </c>
      <c r="E30" s="68" t="s">
        <v>73</v>
      </c>
      <c r="F30" s="68" t="s">
        <v>74</v>
      </c>
      <c r="G30" s="68" t="s">
        <v>75</v>
      </c>
      <c r="H30" s="68"/>
      <c r="I30" s="68" t="s">
        <v>22</v>
      </c>
      <c r="J30" s="68"/>
      <c r="K30" s="68" t="s">
        <v>2829</v>
      </c>
      <c r="L30" s="68" t="s">
        <v>44</v>
      </c>
      <c r="N30" s="68"/>
      <c r="O30" s="68" t="s">
        <v>29</v>
      </c>
      <c r="R30" s="666"/>
    </row>
    <row r="31" ht="14.25" customHeight="1">
      <c r="A31" s="667"/>
      <c r="B31" s="388" t="s">
        <v>63</v>
      </c>
      <c r="C31" s="676" t="s">
        <v>64</v>
      </c>
      <c r="G31" s="68" t="s">
        <v>75</v>
      </c>
      <c r="H31" s="68"/>
      <c r="I31" s="68"/>
      <c r="J31" s="68"/>
      <c r="K31" s="68" t="s">
        <v>2830</v>
      </c>
      <c r="L31" s="68" t="s">
        <v>47</v>
      </c>
      <c r="R31" s="666"/>
    </row>
    <row r="32" ht="14.25" customHeight="1">
      <c r="A32" s="667"/>
      <c r="B32" s="669"/>
      <c r="C32" s="387"/>
      <c r="R32" s="666"/>
    </row>
    <row r="33" ht="14.25" customHeight="1">
      <c r="A33" s="665"/>
      <c r="C33" s="387"/>
      <c r="R33" s="666"/>
    </row>
    <row r="34" ht="14.25" customHeight="1">
      <c r="A34" s="671"/>
      <c r="B34" s="672"/>
      <c r="C34" s="673"/>
      <c r="D34" s="672"/>
      <c r="E34" s="672"/>
      <c r="F34" s="672"/>
      <c r="G34" s="672"/>
      <c r="H34" s="672"/>
      <c r="I34" s="672"/>
      <c r="J34" s="672"/>
      <c r="K34" s="672"/>
      <c r="L34" s="672"/>
      <c r="M34" s="672"/>
      <c r="N34" s="672"/>
      <c r="O34" s="672"/>
      <c r="P34" s="672"/>
      <c r="Q34" s="672"/>
      <c r="R34" s="674"/>
    </row>
    <row r="35" ht="14.25" customHeight="1">
      <c r="A35" s="667" t="s">
        <v>78</v>
      </c>
      <c r="B35" s="388" t="s">
        <v>79</v>
      </c>
      <c r="C35" s="388" t="s">
        <v>51</v>
      </c>
      <c r="D35" s="68" t="s">
        <v>40</v>
      </c>
      <c r="E35" s="68" t="s">
        <v>2334</v>
      </c>
      <c r="F35" s="68" t="s">
        <v>81</v>
      </c>
      <c r="G35" s="68" t="s">
        <v>82</v>
      </c>
      <c r="H35" s="68"/>
      <c r="I35" s="68" t="s">
        <v>22</v>
      </c>
      <c r="J35" s="68"/>
      <c r="R35" s="666"/>
    </row>
    <row r="36" ht="14.25" customHeight="1">
      <c r="A36" s="667"/>
      <c r="B36" s="669"/>
      <c r="C36" s="387"/>
      <c r="R36" s="666"/>
    </row>
    <row r="37" ht="14.25" customHeight="1">
      <c r="A37" s="675"/>
      <c r="B37" s="672"/>
      <c r="C37" s="673"/>
      <c r="D37" s="672"/>
      <c r="E37" s="672"/>
      <c r="F37" s="672"/>
      <c r="G37" s="672"/>
      <c r="H37" s="672"/>
      <c r="I37" s="672"/>
      <c r="J37" s="672"/>
      <c r="K37" s="672"/>
      <c r="L37" s="672"/>
      <c r="M37" s="672"/>
      <c r="N37" s="672"/>
      <c r="O37" s="672"/>
      <c r="P37" s="672"/>
      <c r="Q37" s="672"/>
      <c r="R37" s="674"/>
    </row>
    <row r="38" ht="14.25" customHeight="1">
      <c r="A38" s="667" t="s">
        <v>83</v>
      </c>
      <c r="B38" s="388" t="s">
        <v>84</v>
      </c>
      <c r="C38" s="388" t="s">
        <v>2831</v>
      </c>
      <c r="D38" s="68" t="s">
        <v>40</v>
      </c>
      <c r="E38" s="68"/>
      <c r="F38" s="68" t="s">
        <v>20</v>
      </c>
      <c r="G38" s="68" t="s">
        <v>42</v>
      </c>
      <c r="H38" s="68"/>
      <c r="I38" s="68"/>
      <c r="J38" s="68"/>
      <c r="K38" s="68" t="s">
        <v>86</v>
      </c>
      <c r="R38" s="666"/>
    </row>
    <row r="39" ht="14.25" customHeight="1">
      <c r="A39" s="667"/>
      <c r="R39" s="666"/>
    </row>
    <row r="40" ht="14.25" customHeight="1">
      <c r="A40" s="675"/>
      <c r="B40" s="672"/>
      <c r="C40" s="672"/>
      <c r="D40" s="672"/>
      <c r="E40" s="672"/>
      <c r="F40" s="672"/>
      <c r="G40" s="672"/>
      <c r="H40" s="672"/>
      <c r="I40" s="672"/>
      <c r="J40" s="672"/>
      <c r="K40" s="672"/>
      <c r="L40" s="672"/>
      <c r="M40" s="672"/>
      <c r="N40" s="672"/>
      <c r="O40" s="672"/>
      <c r="P40" s="672"/>
      <c r="Q40" s="672"/>
      <c r="R40" s="674"/>
    </row>
    <row r="41" ht="14.25" customHeight="1">
      <c r="A41" s="667" t="s">
        <v>87</v>
      </c>
      <c r="B41" s="388" t="s">
        <v>88</v>
      </c>
      <c r="C41" s="388" t="s">
        <v>89</v>
      </c>
      <c r="D41" s="68" t="s">
        <v>40</v>
      </c>
      <c r="E41" s="68" t="s">
        <v>90</v>
      </c>
      <c r="F41" s="68" t="s">
        <v>45</v>
      </c>
      <c r="G41" s="68" t="s">
        <v>91</v>
      </c>
      <c r="H41" s="68"/>
      <c r="I41" s="68" t="s">
        <v>22</v>
      </c>
      <c r="J41" s="68"/>
      <c r="K41" s="68" t="s">
        <v>2832</v>
      </c>
      <c r="L41" s="68" t="s">
        <v>44</v>
      </c>
      <c r="N41" s="68"/>
      <c r="O41" s="68" t="s">
        <v>29</v>
      </c>
      <c r="R41" s="670" t="s">
        <v>29</v>
      </c>
    </row>
    <row r="42" ht="14.25" customHeight="1">
      <c r="A42" s="667"/>
      <c r="B42" s="669"/>
      <c r="C42" s="387"/>
      <c r="G42" s="68"/>
      <c r="H42" s="68"/>
      <c r="I42" s="68"/>
      <c r="J42" s="68"/>
      <c r="K42" s="68" t="s">
        <v>2833</v>
      </c>
      <c r="L42" s="68" t="s">
        <v>47</v>
      </c>
      <c r="R42" s="666"/>
    </row>
    <row r="43" ht="14.25" customHeight="1">
      <c r="A43" s="667"/>
      <c r="B43" s="669"/>
      <c r="C43" s="387"/>
      <c r="K43" s="68" t="s">
        <v>2834</v>
      </c>
      <c r="R43" s="666"/>
    </row>
    <row r="44" ht="14.25" customHeight="1">
      <c r="A44" s="671"/>
      <c r="B44" s="672"/>
      <c r="C44" s="673"/>
      <c r="D44" s="672"/>
      <c r="E44" s="672"/>
      <c r="F44" s="672"/>
      <c r="G44" s="672"/>
      <c r="H44" s="672"/>
      <c r="I44" s="672"/>
      <c r="J44" s="672"/>
      <c r="K44" s="672"/>
      <c r="L44" s="672"/>
      <c r="M44" s="672"/>
      <c r="N44" s="672"/>
      <c r="O44" s="672"/>
      <c r="P44" s="672"/>
      <c r="Q44" s="672"/>
      <c r="R44" s="674"/>
    </row>
    <row r="45" ht="14.25" customHeight="1">
      <c r="A45" s="667" t="s">
        <v>95</v>
      </c>
      <c r="B45" s="388" t="s">
        <v>63</v>
      </c>
      <c r="C45" s="388" t="s">
        <v>96</v>
      </c>
      <c r="D45" s="68" t="s">
        <v>40</v>
      </c>
      <c r="E45" s="68"/>
      <c r="F45" s="68" t="s">
        <v>97</v>
      </c>
      <c r="G45" s="68" t="s">
        <v>42</v>
      </c>
      <c r="H45" s="68"/>
      <c r="I45" s="68"/>
      <c r="J45" s="68"/>
      <c r="K45" s="68" t="s">
        <v>98</v>
      </c>
      <c r="L45" s="68" t="s">
        <v>44</v>
      </c>
      <c r="N45" s="68"/>
      <c r="O45" s="68" t="s">
        <v>29</v>
      </c>
      <c r="R45" s="666"/>
    </row>
    <row r="46" ht="14.25" customHeight="1">
      <c r="A46" s="665"/>
      <c r="C46" s="387"/>
      <c r="D46" s="68"/>
      <c r="E46" s="68"/>
      <c r="F46" s="68" t="s">
        <v>99</v>
      </c>
      <c r="G46" s="68" t="s">
        <v>100</v>
      </c>
      <c r="H46" s="68"/>
      <c r="I46" s="68" t="s">
        <v>22</v>
      </c>
      <c r="J46" s="68"/>
      <c r="K46" s="68" t="s">
        <v>2835</v>
      </c>
      <c r="L46" s="68" t="s">
        <v>47</v>
      </c>
      <c r="R46" s="666"/>
    </row>
    <row r="47" ht="14.25" customHeight="1">
      <c r="A47" s="665"/>
      <c r="C47" s="387"/>
      <c r="K47" s="68" t="s">
        <v>2836</v>
      </c>
      <c r="R47" s="666"/>
    </row>
    <row r="48" ht="14.25" customHeight="1">
      <c r="A48" s="665"/>
      <c r="C48" s="387"/>
      <c r="K48" s="68" t="s">
        <v>2837</v>
      </c>
      <c r="R48" s="666"/>
    </row>
    <row r="49" ht="14.25" customHeight="1">
      <c r="A49" s="667"/>
      <c r="C49" s="387"/>
      <c r="E49" s="68"/>
      <c r="F49" s="68" t="s">
        <v>104</v>
      </c>
      <c r="G49" s="68" t="s">
        <v>105</v>
      </c>
      <c r="H49" s="68"/>
      <c r="I49" s="68"/>
      <c r="J49" s="68"/>
      <c r="R49" s="666"/>
    </row>
    <row r="50" ht="14.25" customHeight="1">
      <c r="A50" s="667"/>
      <c r="C50" s="387"/>
      <c r="R50" s="666"/>
    </row>
    <row r="51" ht="14.25" customHeight="1">
      <c r="A51" s="671"/>
      <c r="B51" s="672"/>
      <c r="C51" s="673"/>
      <c r="D51" s="672"/>
      <c r="E51" s="672"/>
      <c r="F51" s="672"/>
      <c r="G51" s="672"/>
      <c r="H51" s="672"/>
      <c r="I51" s="672"/>
      <c r="J51" s="672"/>
      <c r="K51" s="672"/>
      <c r="L51" s="672"/>
      <c r="M51" s="672"/>
      <c r="N51" s="672"/>
      <c r="O51" s="672"/>
      <c r="P51" s="672"/>
      <c r="Q51" s="672"/>
      <c r="R51" s="674"/>
    </row>
    <row r="52" ht="14.25" customHeight="1">
      <c r="A52" s="667" t="s">
        <v>106</v>
      </c>
      <c r="B52" s="668">
        <v>43808.0</v>
      </c>
      <c r="C52" s="388" t="s">
        <v>107</v>
      </c>
      <c r="D52" s="68" t="s">
        <v>40</v>
      </c>
      <c r="E52" s="68" t="s">
        <v>108</v>
      </c>
      <c r="F52" s="68" t="s">
        <v>20</v>
      </c>
      <c r="G52" s="68" t="s">
        <v>42</v>
      </c>
      <c r="H52" s="68"/>
      <c r="I52" s="68" t="s">
        <v>22</v>
      </c>
      <c r="J52" s="68"/>
      <c r="K52" s="68" t="s">
        <v>109</v>
      </c>
      <c r="L52" s="68" t="s">
        <v>110</v>
      </c>
      <c r="M52" s="68" t="s">
        <v>111</v>
      </c>
      <c r="N52" s="68"/>
      <c r="O52" s="68" t="s">
        <v>29</v>
      </c>
      <c r="R52" s="666"/>
    </row>
    <row r="53" ht="14.25" customHeight="1">
      <c r="A53" s="665"/>
      <c r="C53" s="388"/>
      <c r="D53" s="68"/>
      <c r="E53" s="68"/>
      <c r="F53" s="68" t="s">
        <v>112</v>
      </c>
      <c r="G53" s="68" t="s">
        <v>113</v>
      </c>
      <c r="H53" s="68"/>
      <c r="I53" s="68"/>
      <c r="J53" s="68"/>
      <c r="K53" s="68" t="s">
        <v>2838</v>
      </c>
      <c r="L53" s="68" t="s">
        <v>47</v>
      </c>
      <c r="R53" s="666"/>
    </row>
    <row r="54" ht="14.25" customHeight="1">
      <c r="A54" s="665"/>
      <c r="C54" s="388"/>
      <c r="D54" s="68"/>
      <c r="R54" s="666"/>
    </row>
    <row r="55" ht="14.25" customHeight="1">
      <c r="A55" s="671"/>
      <c r="B55" s="677"/>
      <c r="C55" s="677"/>
      <c r="D55" s="654"/>
      <c r="E55" s="672"/>
      <c r="F55" s="672"/>
      <c r="G55" s="672"/>
      <c r="H55" s="672"/>
      <c r="I55" s="672"/>
      <c r="J55" s="672"/>
      <c r="K55" s="672"/>
      <c r="L55" s="672"/>
      <c r="M55" s="672"/>
      <c r="N55" s="672"/>
      <c r="O55" s="672"/>
      <c r="P55" s="672"/>
      <c r="Q55" s="672"/>
      <c r="R55" s="674"/>
    </row>
    <row r="56" ht="14.25" customHeight="1">
      <c r="A56" s="667" t="s">
        <v>115</v>
      </c>
      <c r="B56" s="388" t="s">
        <v>116</v>
      </c>
      <c r="C56" s="388" t="s">
        <v>117</v>
      </c>
      <c r="D56" s="68" t="s">
        <v>40</v>
      </c>
      <c r="E56" s="68"/>
      <c r="F56" s="68" t="s">
        <v>20</v>
      </c>
      <c r="G56" s="68" t="s">
        <v>118</v>
      </c>
      <c r="H56" s="68"/>
      <c r="I56" s="68"/>
      <c r="J56" s="68"/>
      <c r="K56" s="68" t="s">
        <v>109</v>
      </c>
      <c r="L56" s="68" t="s">
        <v>110</v>
      </c>
      <c r="N56" s="68"/>
      <c r="O56" s="68" t="s">
        <v>29</v>
      </c>
      <c r="R56" s="666"/>
    </row>
    <row r="57" ht="14.25" customHeight="1">
      <c r="A57" s="665"/>
      <c r="C57" s="387"/>
      <c r="E57" s="68"/>
      <c r="F57" s="68" t="s">
        <v>45</v>
      </c>
      <c r="G57" s="68" t="s">
        <v>119</v>
      </c>
      <c r="H57" s="68"/>
      <c r="I57" s="68" t="s">
        <v>22</v>
      </c>
      <c r="J57" s="68"/>
      <c r="K57" s="68" t="s">
        <v>120</v>
      </c>
      <c r="R57" s="666"/>
    </row>
    <row r="58" ht="14.25" customHeight="1">
      <c r="A58" s="665"/>
      <c r="C58" s="387"/>
      <c r="K58" s="68" t="s">
        <v>2839</v>
      </c>
      <c r="R58" s="666"/>
    </row>
    <row r="59" ht="14.25" customHeight="1">
      <c r="A59" s="665"/>
      <c r="K59" s="68" t="s">
        <v>2840</v>
      </c>
      <c r="R59" s="666"/>
    </row>
    <row r="60" ht="14.25" customHeight="1">
      <c r="A60" s="665"/>
      <c r="R60" s="666"/>
    </row>
    <row r="61" ht="14.25" customHeight="1">
      <c r="A61" s="671"/>
      <c r="B61" s="672"/>
      <c r="C61" s="672"/>
      <c r="D61" s="672"/>
      <c r="E61" s="672"/>
      <c r="F61" s="672"/>
      <c r="G61" s="672"/>
      <c r="H61" s="672"/>
      <c r="I61" s="672"/>
      <c r="J61" s="672"/>
      <c r="K61" s="672"/>
      <c r="L61" s="672"/>
      <c r="M61" s="672"/>
      <c r="N61" s="672"/>
      <c r="O61" s="672"/>
      <c r="P61" s="672"/>
      <c r="Q61" s="672"/>
      <c r="R61" s="674"/>
    </row>
    <row r="62" ht="14.25" customHeight="1">
      <c r="A62" s="667" t="s">
        <v>123</v>
      </c>
      <c r="B62" s="668">
        <v>44167.0</v>
      </c>
      <c r="C62" s="388" t="s">
        <v>124</v>
      </c>
      <c r="D62" s="68" t="s">
        <v>40</v>
      </c>
      <c r="E62" s="669"/>
      <c r="F62" s="669" t="s">
        <v>125</v>
      </c>
      <c r="G62" s="68" t="s">
        <v>25</v>
      </c>
      <c r="H62" s="68"/>
      <c r="I62" s="68" t="s">
        <v>22</v>
      </c>
      <c r="J62" s="68"/>
      <c r="K62" s="68" t="s">
        <v>2841</v>
      </c>
      <c r="L62" s="68" t="s">
        <v>44</v>
      </c>
      <c r="M62" s="68" t="s">
        <v>127</v>
      </c>
      <c r="R62" s="666"/>
    </row>
    <row r="63" ht="14.25" customHeight="1">
      <c r="A63" s="665"/>
      <c r="K63" s="68" t="s">
        <v>2842</v>
      </c>
      <c r="L63" s="68" t="s">
        <v>47</v>
      </c>
      <c r="R63" s="666"/>
    </row>
    <row r="64" ht="14.25" customHeight="1">
      <c r="A64" s="665"/>
      <c r="K64" s="68" t="s">
        <v>2843</v>
      </c>
      <c r="R64" s="666"/>
    </row>
    <row r="65" ht="14.25" customHeight="1">
      <c r="A65" s="665"/>
      <c r="K65" s="68" t="s">
        <v>2844</v>
      </c>
      <c r="R65" s="666"/>
    </row>
    <row r="66" ht="14.25" customHeight="1">
      <c r="A66" s="671"/>
      <c r="B66" s="672"/>
      <c r="C66" s="672"/>
      <c r="D66" s="672"/>
      <c r="E66" s="672"/>
      <c r="F66" s="672"/>
      <c r="G66" s="672"/>
      <c r="H66" s="672"/>
      <c r="I66" s="672"/>
      <c r="J66" s="672"/>
      <c r="K66" s="672"/>
      <c r="L66" s="672"/>
      <c r="M66" s="672"/>
      <c r="N66" s="672"/>
      <c r="O66" s="672"/>
      <c r="P66" s="672"/>
      <c r="Q66" s="672"/>
      <c r="R66" s="674"/>
    </row>
    <row r="67" ht="14.25" customHeight="1">
      <c r="A67" s="667" t="s">
        <v>131</v>
      </c>
      <c r="B67" s="388" t="s">
        <v>132</v>
      </c>
      <c r="C67" s="388" t="s">
        <v>133</v>
      </c>
      <c r="D67" s="68" t="s">
        <v>40</v>
      </c>
      <c r="E67" s="68" t="s">
        <v>134</v>
      </c>
      <c r="F67" s="68" t="s">
        <v>45</v>
      </c>
      <c r="G67" s="68" t="s">
        <v>25</v>
      </c>
      <c r="H67" s="68"/>
      <c r="I67" s="68" t="s">
        <v>22</v>
      </c>
      <c r="J67" s="68"/>
      <c r="K67" s="68" t="s">
        <v>2845</v>
      </c>
      <c r="L67" s="68" t="s">
        <v>44</v>
      </c>
      <c r="M67" s="68" t="s">
        <v>127</v>
      </c>
      <c r="N67" s="68"/>
      <c r="O67" s="68" t="s">
        <v>29</v>
      </c>
      <c r="R67" s="666"/>
    </row>
    <row r="68" ht="14.25" customHeight="1">
      <c r="A68" s="665"/>
      <c r="C68" s="390" t="s">
        <v>136</v>
      </c>
      <c r="K68" s="669" t="s">
        <v>2846</v>
      </c>
      <c r="L68" s="68" t="s">
        <v>47</v>
      </c>
      <c r="R68" s="666"/>
    </row>
    <row r="69" ht="14.25" customHeight="1">
      <c r="A69" s="665"/>
      <c r="K69" s="669" t="s">
        <v>2847</v>
      </c>
      <c r="R69" s="666"/>
    </row>
    <row r="70" ht="14.25" customHeight="1">
      <c r="A70" s="671"/>
      <c r="B70" s="672"/>
      <c r="C70" s="672"/>
      <c r="D70" s="672"/>
      <c r="E70" s="672"/>
      <c r="F70" s="672"/>
      <c r="G70" s="672"/>
      <c r="H70" s="672"/>
      <c r="I70" s="672"/>
      <c r="J70" s="68"/>
      <c r="K70" s="672"/>
      <c r="L70" s="672"/>
      <c r="M70" s="672"/>
      <c r="N70" s="672"/>
      <c r="O70" s="672"/>
      <c r="P70" s="672"/>
      <c r="Q70" s="672"/>
      <c r="R70" s="674"/>
    </row>
    <row r="71" ht="14.25" customHeight="1">
      <c r="A71" s="667" t="s">
        <v>139</v>
      </c>
      <c r="B71" s="388" t="s">
        <v>132</v>
      </c>
      <c r="C71" s="388" t="s">
        <v>133</v>
      </c>
      <c r="D71" s="68" t="s">
        <v>40</v>
      </c>
      <c r="E71" s="68" t="s">
        <v>140</v>
      </c>
      <c r="F71" s="68" t="s">
        <v>45</v>
      </c>
      <c r="G71" s="68" t="s">
        <v>25</v>
      </c>
      <c r="H71" s="68"/>
      <c r="I71" s="68" t="s">
        <v>22</v>
      </c>
      <c r="J71" s="68"/>
      <c r="K71" s="68" t="s">
        <v>2848</v>
      </c>
      <c r="L71" s="68" t="s">
        <v>44</v>
      </c>
      <c r="M71" s="68" t="s">
        <v>127</v>
      </c>
      <c r="N71" s="68"/>
      <c r="O71" s="68"/>
      <c r="R71" s="666"/>
    </row>
    <row r="72" ht="14.25" customHeight="1">
      <c r="A72" s="665"/>
      <c r="C72" s="68" t="s">
        <v>142</v>
      </c>
      <c r="K72" s="669" t="s">
        <v>2849</v>
      </c>
      <c r="L72" s="68" t="s">
        <v>47</v>
      </c>
      <c r="R72" s="666"/>
    </row>
    <row r="73" ht="14.25" customHeight="1">
      <c r="A73" s="665"/>
      <c r="K73" s="68" t="s">
        <v>2850</v>
      </c>
      <c r="R73" s="666"/>
    </row>
    <row r="74" ht="14.25" customHeight="1">
      <c r="A74" s="665"/>
      <c r="K74" s="68"/>
      <c r="R74" s="666"/>
    </row>
    <row r="75" ht="14.25" customHeight="1">
      <c r="A75" s="671"/>
      <c r="B75" s="672"/>
      <c r="C75" s="672"/>
      <c r="D75" s="672"/>
      <c r="E75" s="672"/>
      <c r="F75" s="672"/>
      <c r="G75" s="672"/>
      <c r="H75" s="672"/>
      <c r="I75" s="672"/>
      <c r="J75" s="672"/>
      <c r="K75" s="654"/>
      <c r="L75" s="672"/>
      <c r="M75" s="672"/>
      <c r="N75" s="672"/>
      <c r="O75" s="672"/>
      <c r="P75" s="672"/>
      <c r="Q75" s="672"/>
      <c r="R75" s="674"/>
    </row>
    <row r="76" ht="14.25" customHeight="1">
      <c r="A76" s="667" t="s">
        <v>145</v>
      </c>
      <c r="B76" s="388" t="s">
        <v>146</v>
      </c>
      <c r="C76" s="388" t="s">
        <v>147</v>
      </c>
      <c r="D76" s="68" t="s">
        <v>40</v>
      </c>
      <c r="E76" s="68"/>
      <c r="F76" s="68" t="s">
        <v>45</v>
      </c>
      <c r="G76" s="68" t="s">
        <v>25</v>
      </c>
      <c r="H76" s="68"/>
      <c r="I76" s="68" t="s">
        <v>22</v>
      </c>
      <c r="J76" s="68"/>
      <c r="K76" s="68" t="s">
        <v>2851</v>
      </c>
      <c r="L76" s="68" t="s">
        <v>44</v>
      </c>
      <c r="M76" s="68" t="s">
        <v>127</v>
      </c>
      <c r="R76" s="666"/>
    </row>
    <row r="77" ht="14.25" customHeight="1">
      <c r="A77" s="665"/>
      <c r="K77" s="68" t="s">
        <v>2852</v>
      </c>
      <c r="L77" s="68" t="s">
        <v>47</v>
      </c>
      <c r="R77" s="666"/>
    </row>
    <row r="78" ht="14.25" customHeight="1">
      <c r="A78" s="665"/>
      <c r="K78" s="68" t="s">
        <v>2853</v>
      </c>
      <c r="R78" s="666"/>
    </row>
    <row r="79" ht="14.25" customHeight="1">
      <c r="A79" s="665"/>
      <c r="R79" s="666"/>
    </row>
    <row r="80" ht="14.25" customHeight="1">
      <c r="A80" s="671"/>
      <c r="B80" s="672"/>
      <c r="C80" s="672"/>
      <c r="D80" s="672"/>
      <c r="E80" s="672"/>
      <c r="F80" s="672"/>
      <c r="G80" s="672"/>
      <c r="H80" s="672"/>
      <c r="I80" s="672"/>
      <c r="J80" s="672"/>
      <c r="K80" s="672"/>
      <c r="L80" s="672"/>
      <c r="M80" s="672"/>
      <c r="N80" s="672"/>
      <c r="O80" s="672"/>
      <c r="P80" s="672"/>
      <c r="Q80" s="672"/>
      <c r="R80" s="674"/>
    </row>
    <row r="81" ht="14.25" customHeight="1">
      <c r="A81" s="667" t="s">
        <v>151</v>
      </c>
      <c r="B81" s="668">
        <v>43987.0</v>
      </c>
      <c r="C81" s="388" t="s">
        <v>152</v>
      </c>
      <c r="D81" s="68" t="s">
        <v>40</v>
      </c>
      <c r="E81" s="68"/>
      <c r="F81" s="68" t="s">
        <v>154</v>
      </c>
      <c r="G81" s="68" t="s">
        <v>155</v>
      </c>
      <c r="H81" s="68"/>
      <c r="I81" s="68" t="s">
        <v>22</v>
      </c>
      <c r="J81" s="68"/>
      <c r="K81" s="68" t="s">
        <v>2854</v>
      </c>
      <c r="R81" s="666"/>
    </row>
    <row r="82" ht="14.25" customHeight="1">
      <c r="A82" s="665"/>
      <c r="K82" s="68" t="s">
        <v>2855</v>
      </c>
      <c r="L82" s="68" t="s">
        <v>44</v>
      </c>
      <c r="R82" s="666"/>
    </row>
    <row r="83" ht="14.25" customHeight="1">
      <c r="A83" s="665"/>
      <c r="K83" s="68" t="s">
        <v>2856</v>
      </c>
      <c r="L83" s="68" t="s">
        <v>47</v>
      </c>
      <c r="R83" s="666"/>
    </row>
    <row r="84" ht="14.25" customHeight="1">
      <c r="A84" s="678"/>
      <c r="K84" s="68" t="s">
        <v>2857</v>
      </c>
      <c r="R84" s="666"/>
    </row>
    <row r="85" ht="14.25" customHeight="1">
      <c r="A85" s="679"/>
      <c r="K85" s="68" t="s">
        <v>2858</v>
      </c>
      <c r="R85" s="669"/>
    </row>
    <row r="86" ht="14.25" customHeight="1">
      <c r="A86" s="680"/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6"/>
    </row>
    <row r="87" ht="14.25" customHeight="1">
      <c r="A87" s="681" t="s">
        <v>162</v>
      </c>
      <c r="B87" s="677" t="s">
        <v>163</v>
      </c>
      <c r="C87" s="677" t="s">
        <v>164</v>
      </c>
      <c r="D87" s="654" t="s">
        <v>40</v>
      </c>
      <c r="E87" s="654" t="s">
        <v>165</v>
      </c>
      <c r="F87" s="654" t="s">
        <v>166</v>
      </c>
      <c r="G87" s="654" t="s">
        <v>155</v>
      </c>
      <c r="H87" s="654"/>
      <c r="I87" s="654" t="s">
        <v>22</v>
      </c>
      <c r="J87" s="654"/>
      <c r="K87" s="682"/>
      <c r="L87" s="682"/>
      <c r="M87" s="682"/>
      <c r="N87" s="682"/>
      <c r="O87" s="682"/>
      <c r="P87" s="682"/>
      <c r="Q87" s="682"/>
      <c r="R87" s="674"/>
      <c r="S87" s="682"/>
      <c r="T87" s="682"/>
      <c r="U87" s="682"/>
      <c r="V87" s="682"/>
      <c r="W87" s="682"/>
      <c r="X87" s="682"/>
      <c r="Y87" s="682"/>
      <c r="Z87" s="682"/>
      <c r="AA87" s="682"/>
      <c r="AB87" s="682"/>
      <c r="AC87" s="682"/>
      <c r="AD87" s="682"/>
      <c r="AE87" s="682"/>
    </row>
    <row r="88" ht="14.25" customHeight="1">
      <c r="A88" s="679"/>
      <c r="B88" s="669"/>
      <c r="C88" s="669"/>
      <c r="D88" s="669"/>
      <c r="E88" s="669"/>
      <c r="F88" s="669"/>
      <c r="G88" s="669"/>
      <c r="H88" s="669"/>
      <c r="I88" s="669"/>
      <c r="J88" s="669"/>
      <c r="K88" s="669"/>
      <c r="L88" s="669"/>
      <c r="M88" s="669"/>
      <c r="N88" s="669"/>
      <c r="O88" s="669"/>
      <c r="P88" s="669"/>
      <c r="Q88" s="669"/>
      <c r="R88" s="669"/>
    </row>
    <row r="89" ht="14.25" customHeight="1">
      <c r="A89" s="675" t="s">
        <v>167</v>
      </c>
      <c r="B89" s="683">
        <v>44171.0</v>
      </c>
      <c r="C89" s="677" t="s">
        <v>168</v>
      </c>
      <c r="D89" s="654" t="s">
        <v>40</v>
      </c>
      <c r="E89" s="560" t="s">
        <v>169</v>
      </c>
      <c r="F89" s="654" t="s">
        <v>154</v>
      </c>
      <c r="G89" s="654" t="s">
        <v>155</v>
      </c>
      <c r="H89" s="654"/>
      <c r="I89" s="654"/>
      <c r="J89" s="654"/>
      <c r="K89" s="654" t="s">
        <v>2859</v>
      </c>
      <c r="L89" s="654" t="s">
        <v>44</v>
      </c>
      <c r="M89" s="682"/>
      <c r="N89" s="682"/>
      <c r="O89" s="682"/>
      <c r="P89" s="682"/>
      <c r="Q89" s="682"/>
      <c r="R89" s="674"/>
      <c r="S89" s="682"/>
      <c r="T89" s="682"/>
      <c r="U89" s="682"/>
      <c r="V89" s="682"/>
      <c r="W89" s="682"/>
      <c r="X89" s="682"/>
      <c r="Y89" s="682"/>
      <c r="Z89" s="682"/>
      <c r="AA89" s="682"/>
      <c r="AB89" s="682"/>
      <c r="AC89" s="682"/>
      <c r="AD89" s="682"/>
      <c r="AE89" s="682"/>
    </row>
    <row r="90" ht="14.25" customHeight="1">
      <c r="A90" s="665"/>
      <c r="K90" s="669" t="s">
        <v>2860</v>
      </c>
      <c r="L90" s="68" t="s">
        <v>47</v>
      </c>
      <c r="R90" s="666"/>
    </row>
    <row r="91" ht="14.25" customHeight="1">
      <c r="A91" s="665"/>
      <c r="K91" s="68" t="s">
        <v>2861</v>
      </c>
      <c r="R91" s="666"/>
    </row>
    <row r="92" ht="14.25" customHeight="1">
      <c r="A92" s="665"/>
      <c r="K92" s="68" t="s">
        <v>2862</v>
      </c>
      <c r="R92" s="666"/>
    </row>
    <row r="93" ht="14.25" customHeight="1">
      <c r="A93" s="671"/>
      <c r="B93" s="672"/>
      <c r="C93" s="672"/>
      <c r="D93" s="672"/>
      <c r="E93" s="672"/>
      <c r="F93" s="672"/>
      <c r="G93" s="672"/>
      <c r="H93" s="672"/>
      <c r="I93" s="672"/>
      <c r="J93" s="672"/>
      <c r="K93" s="672"/>
      <c r="L93" s="672"/>
      <c r="M93" s="672"/>
      <c r="N93" s="672"/>
      <c r="O93" s="672"/>
      <c r="P93" s="672"/>
      <c r="Q93" s="672"/>
      <c r="R93" s="674"/>
    </row>
    <row r="94" ht="14.25" customHeight="1">
      <c r="A94" s="667" t="s">
        <v>174</v>
      </c>
      <c r="B94" s="668">
        <v>43989.0</v>
      </c>
      <c r="C94" s="388" t="s">
        <v>175</v>
      </c>
      <c r="D94" s="68" t="s">
        <v>40</v>
      </c>
      <c r="E94" s="68" t="s">
        <v>176</v>
      </c>
      <c r="F94" s="68" t="s">
        <v>177</v>
      </c>
      <c r="G94" s="68" t="s">
        <v>25</v>
      </c>
      <c r="H94" s="68"/>
      <c r="I94" s="68" t="s">
        <v>22</v>
      </c>
      <c r="J94" s="68"/>
      <c r="K94" s="669" t="s">
        <v>2863</v>
      </c>
      <c r="L94" s="68" t="s">
        <v>44</v>
      </c>
      <c r="R94" s="666"/>
    </row>
    <row r="95" ht="14.25" customHeight="1">
      <c r="A95" s="665"/>
      <c r="K95" s="68" t="s">
        <v>2864</v>
      </c>
      <c r="L95" s="68" t="s">
        <v>47</v>
      </c>
      <c r="R95" s="666"/>
    </row>
    <row r="96" ht="14.25" customHeight="1">
      <c r="A96" s="665"/>
      <c r="K96" s="68" t="s">
        <v>2865</v>
      </c>
      <c r="R96" s="666"/>
    </row>
    <row r="97" ht="14.25" customHeight="1">
      <c r="A97" s="665"/>
      <c r="K97" s="68" t="s">
        <v>2866</v>
      </c>
      <c r="R97" s="666"/>
    </row>
    <row r="98" ht="14.25" customHeight="1">
      <c r="A98" s="671"/>
      <c r="B98" s="672"/>
      <c r="C98" s="672"/>
      <c r="D98" s="672"/>
      <c r="E98" s="672"/>
      <c r="F98" s="672"/>
      <c r="G98" s="672"/>
      <c r="H98" s="672"/>
      <c r="I98" s="672"/>
      <c r="J98" s="672"/>
      <c r="K98" s="672"/>
      <c r="L98" s="672"/>
      <c r="M98" s="672"/>
      <c r="N98" s="672"/>
      <c r="O98" s="672"/>
      <c r="P98" s="672"/>
      <c r="Q98" s="672"/>
      <c r="R98" s="674"/>
    </row>
    <row r="99" ht="14.25" customHeight="1">
      <c r="A99" s="667" t="s">
        <v>182</v>
      </c>
      <c r="B99" s="668">
        <v>43989.0</v>
      </c>
      <c r="C99" s="388" t="s">
        <v>183</v>
      </c>
      <c r="D99" s="68" t="s">
        <v>40</v>
      </c>
      <c r="E99" s="68" t="s">
        <v>184</v>
      </c>
      <c r="F99" s="68" t="s">
        <v>177</v>
      </c>
      <c r="G99" s="68" t="s">
        <v>25</v>
      </c>
      <c r="H99" s="68"/>
      <c r="I99" s="68" t="s">
        <v>22</v>
      </c>
      <c r="J99" s="68" t="s">
        <v>185</v>
      </c>
      <c r="K99" s="68"/>
      <c r="R99" s="666"/>
    </row>
    <row r="100" ht="14.25" customHeight="1">
      <c r="A100" s="665"/>
      <c r="R100" s="666"/>
    </row>
    <row r="101" ht="14.25" customHeight="1">
      <c r="A101" s="665"/>
      <c r="R101" s="666"/>
    </row>
    <row r="102" ht="14.25" customHeight="1">
      <c r="A102" s="671"/>
      <c r="B102" s="672"/>
      <c r="C102" s="672"/>
      <c r="D102" s="672"/>
      <c r="E102" s="672"/>
      <c r="F102" s="672"/>
      <c r="G102" s="672"/>
      <c r="H102" s="672"/>
      <c r="I102" s="672"/>
      <c r="J102" s="672"/>
      <c r="K102" s="672"/>
      <c r="L102" s="672"/>
      <c r="M102" s="672"/>
      <c r="N102" s="672"/>
      <c r="O102" s="672"/>
      <c r="P102" s="672"/>
      <c r="Q102" s="672"/>
      <c r="R102" s="674"/>
    </row>
    <row r="103" ht="14.25" customHeight="1">
      <c r="A103" s="667" t="s">
        <v>186</v>
      </c>
      <c r="B103" s="668">
        <v>44050.0</v>
      </c>
      <c r="C103" s="388" t="s">
        <v>187</v>
      </c>
      <c r="D103" s="68" t="s">
        <v>40</v>
      </c>
      <c r="E103" s="68"/>
      <c r="F103" s="68" t="s">
        <v>189</v>
      </c>
      <c r="G103" s="68" t="s">
        <v>25</v>
      </c>
      <c r="H103" s="68"/>
      <c r="I103" s="68" t="s">
        <v>22</v>
      </c>
      <c r="J103" s="68"/>
      <c r="K103" s="68" t="s">
        <v>2867</v>
      </c>
      <c r="L103" s="669" t="s">
        <v>110</v>
      </c>
      <c r="R103" s="666"/>
    </row>
    <row r="104" ht="14.25" customHeight="1">
      <c r="A104" s="665"/>
      <c r="K104" s="68" t="s">
        <v>2868</v>
      </c>
      <c r="R104" s="666"/>
    </row>
    <row r="105" ht="14.25" customHeight="1">
      <c r="A105" s="678"/>
      <c r="K105" s="68" t="s">
        <v>2869</v>
      </c>
      <c r="R105" s="666"/>
    </row>
    <row r="106" ht="14.25" customHeight="1">
      <c r="A106" s="684" t="s">
        <v>193</v>
      </c>
      <c r="B106" s="683">
        <v>44050.0</v>
      </c>
      <c r="C106" s="677" t="s">
        <v>194</v>
      </c>
      <c r="D106" s="654" t="s">
        <v>40</v>
      </c>
      <c r="E106" s="654" t="s">
        <v>195</v>
      </c>
      <c r="F106" s="654" t="s">
        <v>177</v>
      </c>
      <c r="G106" s="654" t="s">
        <v>25</v>
      </c>
      <c r="H106" s="654"/>
      <c r="I106" s="654" t="s">
        <v>22</v>
      </c>
      <c r="J106" s="654" t="s">
        <v>196</v>
      </c>
      <c r="K106" s="682"/>
      <c r="L106" s="672"/>
      <c r="M106" s="672"/>
      <c r="N106" s="672"/>
      <c r="O106" s="672"/>
      <c r="P106" s="672"/>
      <c r="Q106" s="672"/>
      <c r="R106" s="672"/>
      <c r="S106" s="682"/>
      <c r="T106" s="682"/>
      <c r="U106" s="682"/>
      <c r="V106" s="682"/>
      <c r="W106" s="682"/>
      <c r="X106" s="682"/>
      <c r="Y106" s="682"/>
      <c r="Z106" s="682"/>
      <c r="AA106" s="682"/>
      <c r="AB106" s="682"/>
      <c r="AC106" s="682"/>
      <c r="AD106" s="682"/>
      <c r="AE106" s="682"/>
    </row>
    <row r="107" ht="14.25" customHeight="1">
      <c r="A107" s="685"/>
      <c r="B107" s="668"/>
      <c r="C107" s="388"/>
      <c r="D107" s="68"/>
      <c r="E107" s="68"/>
      <c r="F107" s="68"/>
      <c r="G107" s="68"/>
      <c r="H107" s="68"/>
      <c r="I107" s="68"/>
      <c r="J107" s="68"/>
      <c r="R107" s="669"/>
    </row>
    <row r="108" ht="14.25" customHeight="1">
      <c r="A108" s="686"/>
      <c r="B108" s="669"/>
      <c r="C108" s="669"/>
      <c r="D108" s="669"/>
      <c r="E108" s="68"/>
      <c r="F108" s="68"/>
      <c r="G108" s="669"/>
      <c r="H108" s="669"/>
      <c r="I108" s="669"/>
      <c r="J108" s="669"/>
      <c r="K108" s="669"/>
      <c r="L108" s="669"/>
      <c r="M108" s="669"/>
      <c r="N108" s="669"/>
      <c r="O108" s="669"/>
      <c r="P108" s="669"/>
      <c r="Q108" s="669"/>
      <c r="R108" s="666"/>
    </row>
    <row r="109" ht="14.25" customHeight="1">
      <c r="A109" s="675" t="s">
        <v>197</v>
      </c>
      <c r="B109" s="683">
        <v>44022.0</v>
      </c>
      <c r="C109" s="677" t="s">
        <v>198</v>
      </c>
      <c r="D109" s="654" t="s">
        <v>40</v>
      </c>
      <c r="E109" s="654" t="s">
        <v>199</v>
      </c>
      <c r="F109" s="654" t="s">
        <v>177</v>
      </c>
      <c r="G109" s="654" t="s">
        <v>25</v>
      </c>
      <c r="H109" s="654"/>
      <c r="I109" s="654" t="s">
        <v>22</v>
      </c>
      <c r="J109" s="654" t="s">
        <v>200</v>
      </c>
      <c r="K109" s="654" t="s">
        <v>185</v>
      </c>
      <c r="L109" s="672"/>
      <c r="M109" s="672"/>
      <c r="N109" s="672"/>
      <c r="O109" s="672"/>
      <c r="P109" s="672"/>
      <c r="Q109" s="672"/>
      <c r="R109" s="674"/>
    </row>
    <row r="110" ht="14.25" customHeight="1">
      <c r="A110" s="667"/>
      <c r="B110" s="388"/>
      <c r="E110" s="68"/>
      <c r="F110" s="68"/>
      <c r="R110" s="666"/>
    </row>
    <row r="111" ht="14.25" customHeight="1">
      <c r="A111" s="675" t="s">
        <v>201</v>
      </c>
      <c r="B111" s="683">
        <v>44022.0</v>
      </c>
      <c r="C111" s="677" t="s">
        <v>202</v>
      </c>
      <c r="D111" s="654" t="s">
        <v>40</v>
      </c>
      <c r="E111" s="654" t="s">
        <v>203</v>
      </c>
      <c r="F111" s="654" t="s">
        <v>177</v>
      </c>
      <c r="G111" s="654" t="s">
        <v>25</v>
      </c>
      <c r="H111" s="654"/>
      <c r="I111" s="654" t="s">
        <v>22</v>
      </c>
      <c r="J111" s="654" t="s">
        <v>196</v>
      </c>
      <c r="K111" s="672"/>
      <c r="L111" s="672"/>
      <c r="M111" s="672"/>
      <c r="N111" s="672"/>
      <c r="O111" s="672"/>
      <c r="P111" s="672"/>
      <c r="Q111" s="672"/>
      <c r="R111" s="674"/>
    </row>
    <row r="112" ht="14.25" customHeight="1">
      <c r="A112" s="665"/>
      <c r="R112" s="666"/>
    </row>
    <row r="113" ht="14.25" customHeight="1">
      <c r="A113" s="675" t="s">
        <v>204</v>
      </c>
      <c r="B113" s="677" t="s">
        <v>205</v>
      </c>
      <c r="C113" s="677" t="s">
        <v>206</v>
      </c>
      <c r="D113" s="654" t="s">
        <v>40</v>
      </c>
      <c r="E113" s="654"/>
      <c r="F113" s="654" t="s">
        <v>177</v>
      </c>
      <c r="G113" s="654" t="s">
        <v>25</v>
      </c>
      <c r="H113" s="654"/>
      <c r="I113" s="654" t="s">
        <v>22</v>
      </c>
      <c r="J113" s="654" t="s">
        <v>196</v>
      </c>
      <c r="K113" s="672" t="s">
        <v>207</v>
      </c>
      <c r="L113" s="672"/>
      <c r="M113" s="672"/>
      <c r="N113" s="672"/>
      <c r="O113" s="672"/>
      <c r="P113" s="672"/>
      <c r="Q113" s="672"/>
      <c r="R113" s="674"/>
    </row>
    <row r="114" ht="14.25" customHeight="1">
      <c r="A114" s="665"/>
      <c r="R114" s="666"/>
    </row>
    <row r="115" ht="14.25" customHeight="1">
      <c r="A115" s="675" t="s">
        <v>208</v>
      </c>
      <c r="B115" s="677" t="s">
        <v>209</v>
      </c>
      <c r="C115" s="687" t="s">
        <v>210</v>
      </c>
      <c r="D115" s="654" t="s">
        <v>40</v>
      </c>
      <c r="E115" s="654"/>
      <c r="F115" s="654" t="s">
        <v>177</v>
      </c>
      <c r="G115" s="654" t="s">
        <v>155</v>
      </c>
      <c r="H115" s="654"/>
      <c r="I115" s="654" t="s">
        <v>22</v>
      </c>
      <c r="J115" s="654"/>
      <c r="K115" s="672"/>
      <c r="L115" s="672"/>
      <c r="M115" s="672"/>
      <c r="N115" s="672"/>
      <c r="O115" s="672"/>
      <c r="P115" s="672"/>
      <c r="Q115" s="672"/>
      <c r="R115" s="674"/>
    </row>
    <row r="116" ht="14.25" customHeight="1">
      <c r="A116" s="665"/>
      <c r="R116" s="666"/>
    </row>
    <row r="117" ht="14.25" customHeight="1">
      <c r="A117" s="675" t="s">
        <v>211</v>
      </c>
      <c r="B117" s="677" t="s">
        <v>209</v>
      </c>
      <c r="C117" s="677" t="s">
        <v>198</v>
      </c>
      <c r="D117" s="654" t="s">
        <v>40</v>
      </c>
      <c r="E117" s="654" t="s">
        <v>212</v>
      </c>
      <c r="F117" s="654" t="s">
        <v>177</v>
      </c>
      <c r="G117" s="654" t="s">
        <v>213</v>
      </c>
      <c r="H117" s="654"/>
      <c r="I117" s="654" t="s">
        <v>214</v>
      </c>
      <c r="J117" s="654"/>
      <c r="K117" s="654" t="s">
        <v>2870</v>
      </c>
      <c r="L117" s="672"/>
      <c r="M117" s="672"/>
      <c r="N117" s="672"/>
      <c r="O117" s="672"/>
      <c r="P117" s="672"/>
      <c r="Q117" s="672"/>
      <c r="R117" s="674"/>
    </row>
    <row r="118" ht="14.25" customHeight="1">
      <c r="A118" s="665"/>
      <c r="R118" s="666"/>
    </row>
    <row r="119" ht="14.25" customHeight="1">
      <c r="A119" s="675" t="s">
        <v>216</v>
      </c>
      <c r="B119" s="677" t="s">
        <v>217</v>
      </c>
      <c r="C119" s="677" t="s">
        <v>218</v>
      </c>
      <c r="D119" s="654" t="s">
        <v>40</v>
      </c>
      <c r="E119" s="654"/>
      <c r="F119" s="654" t="s">
        <v>219</v>
      </c>
      <c r="G119" s="654" t="s">
        <v>155</v>
      </c>
      <c r="H119" s="654"/>
      <c r="I119" s="654" t="s">
        <v>22</v>
      </c>
      <c r="J119" s="654"/>
      <c r="K119" s="672"/>
      <c r="L119" s="672"/>
      <c r="M119" s="672"/>
      <c r="N119" s="672"/>
      <c r="O119" s="672"/>
      <c r="P119" s="672"/>
      <c r="Q119" s="672"/>
      <c r="R119" s="674"/>
    </row>
    <row r="120" ht="14.25" customHeight="1">
      <c r="A120" s="665"/>
      <c r="R120" s="666"/>
    </row>
    <row r="121" ht="14.25" customHeight="1">
      <c r="A121" s="675" t="s">
        <v>220</v>
      </c>
      <c r="B121" s="683">
        <v>44041.0</v>
      </c>
      <c r="C121" s="677" t="s">
        <v>221</v>
      </c>
      <c r="D121" s="654" t="s">
        <v>222</v>
      </c>
      <c r="E121" s="672"/>
      <c r="F121" s="672" t="s">
        <v>223</v>
      </c>
      <c r="G121" s="672" t="s">
        <v>224</v>
      </c>
      <c r="H121" s="654"/>
      <c r="I121" s="654" t="s">
        <v>225</v>
      </c>
      <c r="J121" s="672" t="s">
        <v>226</v>
      </c>
      <c r="K121" s="654"/>
      <c r="L121" s="672"/>
      <c r="M121" s="672"/>
      <c r="N121" s="672"/>
      <c r="O121" s="672"/>
      <c r="P121" s="672"/>
      <c r="Q121" s="672"/>
      <c r="R121" s="674"/>
    </row>
    <row r="122" ht="14.25" customHeight="1">
      <c r="A122" s="665"/>
      <c r="D122" s="390"/>
      <c r="R122" s="666"/>
    </row>
    <row r="123" ht="14.25" customHeight="1">
      <c r="A123" s="675" t="s">
        <v>227</v>
      </c>
      <c r="B123" s="683">
        <v>44041.0</v>
      </c>
      <c r="C123" s="677" t="s">
        <v>228</v>
      </c>
      <c r="D123" s="654" t="s">
        <v>222</v>
      </c>
      <c r="E123" s="672"/>
      <c r="F123" s="672" t="s">
        <v>229</v>
      </c>
      <c r="G123" s="672" t="s">
        <v>224</v>
      </c>
      <c r="H123" s="654"/>
      <c r="I123" s="654" t="s">
        <v>22</v>
      </c>
      <c r="J123" s="672" t="s">
        <v>226</v>
      </c>
      <c r="K123" s="654"/>
      <c r="L123" s="672"/>
      <c r="M123" s="672"/>
      <c r="N123" s="672"/>
      <c r="O123" s="672"/>
      <c r="P123" s="672"/>
      <c r="Q123" s="672"/>
      <c r="R123" s="674"/>
    </row>
    <row r="124" ht="14.25" customHeight="1">
      <c r="A124" s="665"/>
      <c r="L124" s="688"/>
      <c r="R124" s="666"/>
    </row>
    <row r="125" ht="14.25" customHeight="1">
      <c r="A125" s="675" t="s">
        <v>230</v>
      </c>
      <c r="B125" s="683">
        <v>44046.0</v>
      </c>
      <c r="C125" s="677" t="s">
        <v>231</v>
      </c>
      <c r="D125" s="654" t="s">
        <v>40</v>
      </c>
      <c r="E125" s="654"/>
      <c r="F125" s="654" t="s">
        <v>232</v>
      </c>
      <c r="G125" s="654" t="s">
        <v>233</v>
      </c>
      <c r="H125" s="654"/>
      <c r="I125" s="654" t="s">
        <v>225</v>
      </c>
      <c r="J125" s="672"/>
      <c r="K125" s="654" t="s">
        <v>2871</v>
      </c>
      <c r="L125" s="669" t="s">
        <v>110</v>
      </c>
      <c r="M125" s="672"/>
      <c r="N125" s="672"/>
      <c r="O125" s="654" t="s">
        <v>29</v>
      </c>
      <c r="P125" s="672"/>
      <c r="Q125" s="672"/>
      <c r="R125" s="674"/>
    </row>
    <row r="126" ht="14.25" customHeight="1">
      <c r="A126" s="665"/>
      <c r="K126" s="68" t="s">
        <v>2872</v>
      </c>
      <c r="L126" s="669" t="s">
        <v>236</v>
      </c>
      <c r="R126" s="666"/>
    </row>
    <row r="127" ht="14.25" customHeight="1">
      <c r="A127" s="689"/>
      <c r="K127" s="68" t="s">
        <v>2873</v>
      </c>
      <c r="Q127" s="669"/>
      <c r="R127" s="666"/>
    </row>
    <row r="128" ht="21.0" customHeight="1">
      <c r="A128" s="689"/>
      <c r="R128" s="666"/>
    </row>
    <row r="129" ht="15.75" customHeight="1">
      <c r="A129" s="675" t="s">
        <v>238</v>
      </c>
      <c r="B129" s="683">
        <v>44056.0</v>
      </c>
      <c r="C129" s="677" t="s">
        <v>239</v>
      </c>
      <c r="D129" s="654" t="s">
        <v>240</v>
      </c>
      <c r="E129" s="654"/>
      <c r="F129" s="654" t="s">
        <v>241</v>
      </c>
      <c r="G129" s="654" t="s">
        <v>242</v>
      </c>
      <c r="H129" s="654"/>
      <c r="I129" s="654" t="s">
        <v>225</v>
      </c>
      <c r="J129" s="654"/>
      <c r="K129" s="654" t="s">
        <v>2874</v>
      </c>
      <c r="L129" s="672" t="s">
        <v>110</v>
      </c>
      <c r="M129" s="672" t="s">
        <v>244</v>
      </c>
      <c r="N129" s="672"/>
      <c r="O129" s="672"/>
      <c r="P129" s="672"/>
      <c r="Q129" s="672"/>
      <c r="R129" s="674"/>
    </row>
    <row r="130">
      <c r="A130" s="667"/>
      <c r="C130" s="388"/>
      <c r="K130" s="68" t="s">
        <v>2875</v>
      </c>
      <c r="R130" s="666"/>
    </row>
    <row r="131" ht="18.0" customHeight="1">
      <c r="A131" s="667"/>
      <c r="K131" s="68" t="s">
        <v>2876</v>
      </c>
      <c r="O131" s="669"/>
      <c r="P131" s="669"/>
      <c r="Q131" s="669"/>
      <c r="R131" s="666"/>
    </row>
    <row r="132" ht="22.5" customHeight="1">
      <c r="A132" s="667"/>
      <c r="Q132" s="690"/>
      <c r="R132" s="691"/>
    </row>
    <row r="133" ht="24.75" customHeight="1">
      <c r="A133" s="675" t="s">
        <v>247</v>
      </c>
      <c r="B133" s="683">
        <v>44056.0</v>
      </c>
      <c r="C133" s="677" t="s">
        <v>239</v>
      </c>
      <c r="D133" s="654" t="s">
        <v>158</v>
      </c>
      <c r="E133" s="654"/>
      <c r="F133" s="654" t="s">
        <v>241</v>
      </c>
      <c r="G133" s="654" t="s">
        <v>242</v>
      </c>
      <c r="H133" s="654"/>
      <c r="I133" s="654" t="s">
        <v>225</v>
      </c>
      <c r="J133" s="654" t="s">
        <v>248</v>
      </c>
      <c r="K133" s="654" t="s">
        <v>249</v>
      </c>
      <c r="L133" s="672"/>
      <c r="M133" s="672"/>
      <c r="N133" s="672"/>
      <c r="O133" s="672"/>
      <c r="P133" s="672"/>
      <c r="R133" s="666"/>
    </row>
    <row r="134" ht="14.25" customHeight="1">
      <c r="A134" s="667"/>
      <c r="Q134" s="669"/>
      <c r="R134" s="666"/>
    </row>
    <row r="135" ht="14.25" customHeight="1">
      <c r="A135" s="667"/>
      <c r="L135" s="690"/>
      <c r="R135" s="666"/>
    </row>
    <row r="136" ht="14.25" customHeight="1">
      <c r="A136" s="675" t="s">
        <v>250</v>
      </c>
      <c r="B136" s="683">
        <v>44062.0</v>
      </c>
      <c r="C136" s="677" t="s">
        <v>251</v>
      </c>
      <c r="D136" s="654" t="s">
        <v>40</v>
      </c>
      <c r="E136" s="654" t="s">
        <v>252</v>
      </c>
      <c r="F136" s="654" t="s">
        <v>232</v>
      </c>
      <c r="G136" s="654" t="s">
        <v>242</v>
      </c>
      <c r="H136" s="654"/>
      <c r="I136" s="654" t="s">
        <v>225</v>
      </c>
      <c r="J136" s="672"/>
      <c r="K136" s="654" t="s">
        <v>2877</v>
      </c>
      <c r="L136" s="669" t="s">
        <v>254</v>
      </c>
      <c r="M136" s="672"/>
      <c r="N136" s="672"/>
      <c r="O136" s="672"/>
      <c r="P136" s="672"/>
      <c r="Q136" s="672"/>
      <c r="R136" s="674"/>
    </row>
    <row r="137" ht="14.25" customHeight="1">
      <c r="A137" s="667"/>
      <c r="K137" s="68" t="s">
        <v>2878</v>
      </c>
      <c r="L137" s="669" t="s">
        <v>256</v>
      </c>
      <c r="R137" s="666"/>
    </row>
    <row r="138" ht="14.25" customHeight="1">
      <c r="A138" s="692"/>
      <c r="K138" s="68" t="s">
        <v>2879</v>
      </c>
      <c r="R138" s="666"/>
    </row>
    <row r="139" ht="14.25" customHeight="1">
      <c r="A139" s="692"/>
      <c r="K139" s="68" t="s">
        <v>2880</v>
      </c>
      <c r="R139" s="666"/>
    </row>
    <row r="140" ht="14.25" customHeight="1">
      <c r="A140" s="675" t="s">
        <v>259</v>
      </c>
      <c r="B140" s="683">
        <v>44056.0</v>
      </c>
      <c r="C140" s="677" t="s">
        <v>260</v>
      </c>
      <c r="D140" s="654" t="s">
        <v>222</v>
      </c>
      <c r="E140" s="672"/>
      <c r="F140" s="654" t="s">
        <v>229</v>
      </c>
      <c r="G140" s="654" t="s">
        <v>242</v>
      </c>
      <c r="H140" s="654"/>
      <c r="I140" s="654" t="s">
        <v>225</v>
      </c>
      <c r="J140" s="654" t="s">
        <v>261</v>
      </c>
      <c r="K140" s="672"/>
      <c r="L140" s="672"/>
      <c r="M140" s="672"/>
      <c r="N140" s="672"/>
      <c r="O140" s="672"/>
      <c r="P140" s="672"/>
      <c r="Q140" s="672"/>
      <c r="R140" s="674"/>
    </row>
    <row r="141" ht="14.25" customHeight="1">
      <c r="A141" s="665"/>
      <c r="G141" s="68"/>
      <c r="R141" s="666"/>
    </row>
    <row r="142" ht="14.25" customHeight="1">
      <c r="A142" s="675" t="s">
        <v>262</v>
      </c>
      <c r="B142" s="683">
        <v>44067.0</v>
      </c>
      <c r="C142" s="677" t="s">
        <v>263</v>
      </c>
      <c r="D142" s="654" t="s">
        <v>40</v>
      </c>
      <c r="E142" s="693" t="s">
        <v>2881</v>
      </c>
      <c r="F142" s="654" t="s">
        <v>232</v>
      </c>
      <c r="G142" s="654" t="s">
        <v>242</v>
      </c>
      <c r="H142" s="654"/>
      <c r="I142" s="654" t="s">
        <v>225</v>
      </c>
      <c r="J142" s="654" t="s">
        <v>265</v>
      </c>
      <c r="K142" s="672"/>
      <c r="L142" s="672"/>
      <c r="M142" s="672"/>
      <c r="N142" s="672"/>
      <c r="O142" s="672"/>
      <c r="P142" s="672"/>
      <c r="Q142" s="672"/>
      <c r="R142" s="674"/>
    </row>
    <row r="143" ht="14.25" customHeight="1">
      <c r="A143" s="667"/>
      <c r="B143" s="388"/>
      <c r="G143" s="68"/>
      <c r="L143" s="690"/>
      <c r="R143" s="666"/>
    </row>
    <row r="144" ht="14.25" customHeight="1">
      <c r="A144" s="675" t="s">
        <v>266</v>
      </c>
      <c r="B144" s="683">
        <v>44067.0</v>
      </c>
      <c r="C144" s="673" t="s">
        <v>267</v>
      </c>
      <c r="D144" s="654" t="s">
        <v>40</v>
      </c>
      <c r="E144" s="654"/>
      <c r="F144" s="654" t="s">
        <v>241</v>
      </c>
      <c r="G144" s="654" t="s">
        <v>242</v>
      </c>
      <c r="H144" s="654"/>
      <c r="I144" s="654" t="s">
        <v>225</v>
      </c>
      <c r="J144" s="654" t="s">
        <v>248</v>
      </c>
      <c r="K144" s="654" t="s">
        <v>2882</v>
      </c>
      <c r="L144" s="669" t="s">
        <v>254</v>
      </c>
      <c r="M144" s="672" t="s">
        <v>127</v>
      </c>
      <c r="N144" s="672"/>
      <c r="O144" s="672" t="s">
        <v>29</v>
      </c>
      <c r="P144" s="672"/>
    </row>
    <row r="145" ht="14.25" customHeight="1">
      <c r="A145" s="667"/>
      <c r="K145" s="68" t="s">
        <v>2883</v>
      </c>
      <c r="L145" s="669" t="s">
        <v>256</v>
      </c>
      <c r="M145" s="213"/>
      <c r="N145" s="213"/>
      <c r="O145" s="213"/>
    </row>
    <row r="146" ht="14.25" customHeight="1">
      <c r="A146" s="689"/>
      <c r="K146" s="68" t="s">
        <v>2884</v>
      </c>
    </row>
    <row r="147" ht="14.25" customHeight="1">
      <c r="A147" s="689"/>
      <c r="K147" s="304"/>
      <c r="L147" s="690"/>
      <c r="M147" s="690"/>
      <c r="N147" s="690"/>
      <c r="O147" s="690"/>
      <c r="P147" s="690"/>
    </row>
    <row r="148" ht="14.25" customHeight="1">
      <c r="A148" s="675" t="s">
        <v>272</v>
      </c>
      <c r="B148" s="683">
        <v>44113.0</v>
      </c>
      <c r="C148" s="677" t="s">
        <v>273</v>
      </c>
      <c r="D148" s="654" t="s">
        <v>40</v>
      </c>
      <c r="E148" s="654" t="s">
        <v>274</v>
      </c>
      <c r="F148" s="654" t="s">
        <v>74</v>
      </c>
      <c r="G148" s="654" t="s">
        <v>155</v>
      </c>
      <c r="H148" s="654"/>
      <c r="I148" s="654" t="s">
        <v>22</v>
      </c>
      <c r="J148" s="672"/>
      <c r="K148" s="654" t="s">
        <v>275</v>
      </c>
      <c r="L148" s="669"/>
      <c r="M148" s="669"/>
      <c r="N148" s="669"/>
      <c r="O148" s="669"/>
      <c r="Q148" s="213"/>
      <c r="R148" s="213"/>
    </row>
    <row r="149" ht="14.25" customHeight="1">
      <c r="A149" s="667"/>
      <c r="C149" s="669"/>
      <c r="D149" s="669"/>
      <c r="E149" s="669"/>
      <c r="F149" s="669"/>
      <c r="G149" s="669"/>
      <c r="H149" s="669"/>
      <c r="I149" s="669"/>
      <c r="J149" s="669"/>
      <c r="K149" s="669"/>
      <c r="L149" s="690"/>
      <c r="M149" s="690"/>
      <c r="N149" s="690"/>
      <c r="O149" s="690"/>
      <c r="Q149" s="213"/>
      <c r="R149" s="213"/>
    </row>
    <row r="150" ht="14.25" customHeight="1">
      <c r="A150" s="675" t="s">
        <v>276</v>
      </c>
      <c r="B150" s="683">
        <v>44113.0</v>
      </c>
      <c r="C150" s="677" t="s">
        <v>277</v>
      </c>
      <c r="D150" s="654" t="s">
        <v>40</v>
      </c>
      <c r="E150" s="654" t="s">
        <v>278</v>
      </c>
      <c r="F150" s="654" t="s">
        <v>74</v>
      </c>
      <c r="G150" s="654" t="s">
        <v>155</v>
      </c>
      <c r="H150" s="654"/>
      <c r="I150" s="654" t="s">
        <v>22</v>
      </c>
      <c r="J150" s="672"/>
      <c r="K150" s="654" t="s">
        <v>275</v>
      </c>
      <c r="L150" s="669"/>
      <c r="M150" s="669"/>
      <c r="N150" s="669"/>
      <c r="O150" s="669"/>
      <c r="P150" s="213"/>
      <c r="Q150" s="213"/>
      <c r="R150" s="213"/>
    </row>
    <row r="151" ht="14.25" customHeight="1">
      <c r="A151" s="665"/>
      <c r="C151" s="669"/>
      <c r="D151" s="669"/>
      <c r="E151" s="669"/>
      <c r="F151" s="669"/>
      <c r="G151" s="669"/>
      <c r="H151" s="669"/>
      <c r="I151" s="669"/>
      <c r="J151" s="669"/>
      <c r="K151" s="669"/>
      <c r="L151" s="690"/>
      <c r="M151" s="690"/>
      <c r="N151" s="690"/>
      <c r="O151" s="690"/>
      <c r="P151" s="213"/>
      <c r="Q151" s="213"/>
      <c r="R151" s="669"/>
    </row>
    <row r="152" ht="14.25" customHeight="1">
      <c r="A152" s="675" t="s">
        <v>279</v>
      </c>
      <c r="B152" s="683">
        <v>44113.0</v>
      </c>
      <c r="C152" s="677" t="s">
        <v>280</v>
      </c>
      <c r="D152" s="654" t="s">
        <v>40</v>
      </c>
      <c r="E152" s="654" t="s">
        <v>281</v>
      </c>
      <c r="F152" s="654" t="s">
        <v>74</v>
      </c>
      <c r="G152" s="654" t="s">
        <v>155</v>
      </c>
      <c r="H152" s="654"/>
      <c r="I152" s="654" t="s">
        <v>22</v>
      </c>
      <c r="J152" s="654" t="s">
        <v>282</v>
      </c>
      <c r="K152" s="654" t="s">
        <v>275</v>
      </c>
      <c r="L152" s="669"/>
      <c r="M152" s="669"/>
      <c r="N152" s="669"/>
      <c r="O152" s="669"/>
      <c r="P152" s="213"/>
      <c r="Q152" s="669"/>
      <c r="R152" s="669"/>
    </row>
    <row r="153" ht="14.25" customHeight="1">
      <c r="A153" s="678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69"/>
      <c r="P153" s="213"/>
      <c r="Q153" s="213"/>
    </row>
    <row r="154" ht="15.0" customHeight="1">
      <c r="A154" s="684" t="s">
        <v>283</v>
      </c>
      <c r="B154" s="683">
        <v>44174.0</v>
      </c>
      <c r="C154" s="677" t="s">
        <v>284</v>
      </c>
      <c r="D154" s="654" t="s">
        <v>40</v>
      </c>
      <c r="E154" s="654" t="s">
        <v>285</v>
      </c>
      <c r="F154" s="654" t="s">
        <v>74</v>
      </c>
      <c r="G154" s="654" t="s">
        <v>155</v>
      </c>
      <c r="H154" s="654"/>
      <c r="I154" s="654" t="s">
        <v>22</v>
      </c>
      <c r="J154" s="654"/>
      <c r="K154" s="654" t="s">
        <v>286</v>
      </c>
      <c r="L154" s="672"/>
      <c r="M154" s="672"/>
      <c r="N154" s="672"/>
      <c r="O154" s="669"/>
      <c r="P154" s="669"/>
      <c r="Q154" s="213"/>
    </row>
    <row r="155" ht="14.25" customHeight="1">
      <c r="A155" s="694"/>
      <c r="B155" s="690"/>
      <c r="C155" s="695"/>
      <c r="D155" s="696"/>
      <c r="E155" s="669"/>
      <c r="F155" s="669"/>
      <c r="G155" s="669"/>
      <c r="H155" s="669"/>
      <c r="I155" s="690"/>
      <c r="J155" s="690"/>
      <c r="K155" s="690"/>
      <c r="L155" s="669"/>
      <c r="M155" s="669"/>
      <c r="N155" s="669"/>
      <c r="O155" s="669"/>
      <c r="P155" s="213"/>
      <c r="Q155" s="213"/>
    </row>
    <row r="156" ht="14.25" customHeight="1">
      <c r="A156" s="684" t="s">
        <v>287</v>
      </c>
      <c r="B156" s="668">
        <v>44097.0</v>
      </c>
      <c r="C156" s="388" t="s">
        <v>288</v>
      </c>
      <c r="D156" s="654" t="s">
        <v>40</v>
      </c>
      <c r="E156" s="654" t="s">
        <v>289</v>
      </c>
      <c r="F156" s="654" t="s">
        <v>74</v>
      </c>
      <c r="G156" s="654" t="s">
        <v>155</v>
      </c>
      <c r="H156" s="654"/>
      <c r="I156" s="654" t="s">
        <v>22</v>
      </c>
      <c r="J156" s="669"/>
      <c r="K156" s="669"/>
      <c r="L156" s="672"/>
      <c r="M156" s="672"/>
      <c r="N156" s="672"/>
      <c r="O156" s="669"/>
      <c r="P156" s="213"/>
      <c r="Q156" s="213"/>
    </row>
    <row r="157" ht="14.25" customHeight="1">
      <c r="A157" s="694"/>
      <c r="B157" s="690"/>
      <c r="C157" s="697"/>
      <c r="D157" s="669"/>
      <c r="E157" s="669"/>
      <c r="F157" s="669"/>
      <c r="G157" s="669"/>
      <c r="H157" s="669"/>
      <c r="I157" s="690"/>
      <c r="J157" s="690"/>
      <c r="K157" s="690"/>
      <c r="L157" s="669"/>
      <c r="M157" s="669"/>
      <c r="N157" s="669"/>
      <c r="O157" s="669"/>
      <c r="P157" s="213"/>
      <c r="Q157" s="213"/>
    </row>
    <row r="158" ht="14.25" customHeight="1">
      <c r="A158" s="684" t="s">
        <v>290</v>
      </c>
      <c r="B158" s="668">
        <v>44097.0</v>
      </c>
      <c r="C158" s="388" t="s">
        <v>291</v>
      </c>
      <c r="D158" s="654" t="s">
        <v>40</v>
      </c>
      <c r="E158" s="654"/>
      <c r="F158" s="654" t="s">
        <v>74</v>
      </c>
      <c r="G158" s="654" t="s">
        <v>155</v>
      </c>
      <c r="H158" s="654"/>
      <c r="I158" s="654" t="s">
        <v>22</v>
      </c>
      <c r="J158" s="669"/>
      <c r="K158" s="669"/>
      <c r="L158" s="672"/>
      <c r="M158" s="672"/>
      <c r="N158" s="672"/>
      <c r="O158" s="669"/>
      <c r="P158" s="213"/>
      <c r="Q158" s="213"/>
    </row>
    <row r="159" ht="14.25" customHeight="1">
      <c r="A159" s="694"/>
      <c r="B159" s="690"/>
      <c r="C159" s="697"/>
      <c r="D159" s="669"/>
      <c r="E159" s="669"/>
      <c r="F159" s="669"/>
      <c r="G159" s="669"/>
      <c r="H159" s="669"/>
      <c r="I159" s="690"/>
      <c r="J159" s="690"/>
      <c r="K159" s="690"/>
      <c r="L159" s="669"/>
      <c r="M159" s="669"/>
      <c r="N159" s="669"/>
      <c r="O159" s="669"/>
      <c r="P159" s="213"/>
      <c r="Q159" s="213"/>
    </row>
    <row r="160" ht="14.25" customHeight="1">
      <c r="A160" s="684" t="s">
        <v>293</v>
      </c>
      <c r="B160" s="668">
        <v>44097.0</v>
      </c>
      <c r="C160" s="388" t="s">
        <v>294</v>
      </c>
      <c r="D160" s="654" t="s">
        <v>40</v>
      </c>
      <c r="E160" s="654" t="s">
        <v>295</v>
      </c>
      <c r="F160" s="654" t="s">
        <v>74</v>
      </c>
      <c r="G160" s="654" t="s">
        <v>242</v>
      </c>
      <c r="H160" s="654"/>
      <c r="I160" s="654" t="s">
        <v>22</v>
      </c>
      <c r="J160" s="68" t="s">
        <v>296</v>
      </c>
      <c r="K160" s="68" t="s">
        <v>297</v>
      </c>
      <c r="L160" s="672"/>
      <c r="M160" s="672"/>
      <c r="N160" s="672"/>
      <c r="O160" s="669"/>
      <c r="P160" s="213"/>
      <c r="Q160" s="213"/>
    </row>
    <row r="161" ht="14.25" customHeight="1">
      <c r="A161" s="694"/>
      <c r="B161" s="690"/>
      <c r="C161" s="697"/>
      <c r="D161" s="669"/>
      <c r="E161" s="669"/>
      <c r="F161" s="669"/>
      <c r="G161" s="669"/>
      <c r="H161" s="669"/>
      <c r="I161" s="669"/>
      <c r="J161" s="690"/>
      <c r="K161" s="697"/>
      <c r="L161" s="690"/>
      <c r="M161" s="690"/>
      <c r="N161" s="690"/>
      <c r="O161" s="669"/>
      <c r="P161" s="213"/>
      <c r="Q161" s="213"/>
    </row>
    <row r="162" ht="14.25" customHeight="1">
      <c r="A162" s="684" t="s">
        <v>298</v>
      </c>
      <c r="B162" s="698">
        <v>44102.0</v>
      </c>
      <c r="C162" s="388" t="s">
        <v>299</v>
      </c>
      <c r="D162" s="654" t="s">
        <v>40</v>
      </c>
      <c r="E162" s="654" t="s">
        <v>300</v>
      </c>
      <c r="F162" s="654" t="s">
        <v>74</v>
      </c>
      <c r="G162" s="654" t="s">
        <v>242</v>
      </c>
      <c r="H162" s="654"/>
      <c r="I162" s="654" t="s">
        <v>22</v>
      </c>
      <c r="J162" s="669"/>
      <c r="K162" s="68" t="s">
        <v>2885</v>
      </c>
      <c r="L162" s="669" t="s">
        <v>254</v>
      </c>
      <c r="M162" s="669"/>
      <c r="N162" s="669"/>
      <c r="O162" s="654" t="s">
        <v>29</v>
      </c>
      <c r="P162" s="699"/>
      <c r="Q162" s="213"/>
    </row>
    <row r="163" ht="14.25" customHeight="1">
      <c r="A163" s="686"/>
      <c r="C163" s="68"/>
      <c r="D163" s="669"/>
      <c r="E163" s="669"/>
      <c r="F163" s="669"/>
      <c r="G163" s="669"/>
      <c r="H163" s="669"/>
      <c r="I163" s="669"/>
      <c r="J163" s="669"/>
      <c r="K163" s="68" t="s">
        <v>2886</v>
      </c>
      <c r="L163" s="669" t="s">
        <v>256</v>
      </c>
      <c r="M163" s="669"/>
      <c r="N163" s="669"/>
      <c r="O163" s="68"/>
      <c r="P163" s="213"/>
      <c r="Q163" s="213"/>
    </row>
    <row r="164" ht="14.25" customHeight="1">
      <c r="A164" s="665"/>
      <c r="O164" s="390"/>
    </row>
    <row r="165" ht="14.25" customHeight="1">
      <c r="A165" s="678"/>
      <c r="J165" s="690"/>
      <c r="K165" s="690"/>
      <c r="L165" s="700"/>
      <c r="M165" s="700"/>
      <c r="N165" s="700"/>
      <c r="O165" s="390"/>
      <c r="V165" s="699"/>
      <c r="W165" s="699"/>
      <c r="X165" s="699"/>
      <c r="Y165" s="699"/>
    </row>
    <row r="166" ht="14.25" customHeight="1">
      <c r="A166" s="684" t="s">
        <v>303</v>
      </c>
      <c r="B166" s="701">
        <v>44102.0</v>
      </c>
      <c r="C166" s="677" t="s">
        <v>304</v>
      </c>
      <c r="D166" s="654" t="s">
        <v>40</v>
      </c>
      <c r="E166" s="654" t="s">
        <v>305</v>
      </c>
      <c r="F166" s="654" t="s">
        <v>74</v>
      </c>
      <c r="G166" s="654" t="s">
        <v>242</v>
      </c>
      <c r="H166" s="654"/>
      <c r="I166" s="654" t="s">
        <v>225</v>
      </c>
      <c r="J166" s="669"/>
      <c r="K166" s="68" t="s">
        <v>297</v>
      </c>
      <c r="L166" s="669"/>
      <c r="M166" s="669"/>
      <c r="N166" s="669"/>
      <c r="O166" s="654"/>
      <c r="P166" s="699"/>
      <c r="Q166" s="213"/>
      <c r="AB166" s="699"/>
      <c r="AC166" s="699"/>
      <c r="AD166" s="699"/>
      <c r="AE166" s="699"/>
    </row>
    <row r="167" ht="14.25" customHeight="1">
      <c r="A167" s="686"/>
      <c r="C167" s="68"/>
      <c r="D167" s="669"/>
      <c r="E167" s="669"/>
      <c r="F167" s="669"/>
      <c r="G167" s="669"/>
      <c r="H167" s="669"/>
      <c r="I167" s="669"/>
      <c r="J167" s="669"/>
      <c r="K167" s="68" t="s">
        <v>2887</v>
      </c>
      <c r="L167" s="669" t="s">
        <v>307</v>
      </c>
      <c r="M167" s="669"/>
      <c r="N167" s="669"/>
      <c r="O167" s="68"/>
      <c r="P167" s="213"/>
      <c r="Q167" s="213"/>
      <c r="T167" s="699"/>
      <c r="U167" s="699"/>
      <c r="V167" s="699"/>
      <c r="W167" s="699"/>
      <c r="X167" s="699"/>
      <c r="Y167" s="699"/>
      <c r="Z167" s="699"/>
      <c r="AA167" s="699"/>
    </row>
    <row r="168" ht="14.25" customHeight="1">
      <c r="A168" s="702"/>
      <c r="K168" s="390" t="s">
        <v>2888</v>
      </c>
      <c r="M168" s="669" t="s">
        <v>127</v>
      </c>
      <c r="O168" s="390"/>
    </row>
    <row r="169" ht="14.25" customHeight="1">
      <c r="A169" s="702"/>
      <c r="K169" s="390" t="s">
        <v>2889</v>
      </c>
      <c r="O169" s="390"/>
      <c r="T169" s="699"/>
      <c r="U169" s="699"/>
    </row>
    <row r="170" ht="14.25" customHeight="1">
      <c r="A170" s="702"/>
      <c r="J170" s="700"/>
      <c r="K170" s="700"/>
      <c r="L170" s="700"/>
      <c r="M170" s="700"/>
      <c r="N170" s="700"/>
      <c r="O170" s="390"/>
    </row>
    <row r="171" ht="14.25" customHeight="1">
      <c r="A171" s="684" t="s">
        <v>310</v>
      </c>
      <c r="B171" s="701">
        <v>44102.0</v>
      </c>
      <c r="C171" s="677" t="s">
        <v>311</v>
      </c>
      <c r="D171" s="654" t="s">
        <v>40</v>
      </c>
      <c r="E171" s="654" t="s">
        <v>312</v>
      </c>
      <c r="F171" s="654" t="s">
        <v>74</v>
      </c>
      <c r="G171" s="654" t="s">
        <v>155</v>
      </c>
      <c r="H171" s="654"/>
      <c r="I171" s="654" t="s">
        <v>22</v>
      </c>
      <c r="J171" s="669"/>
      <c r="K171" s="669"/>
      <c r="L171" s="669"/>
      <c r="M171" s="669"/>
      <c r="N171" s="669"/>
      <c r="O171" s="654"/>
      <c r="P171" s="699"/>
      <c r="Q171" s="213"/>
    </row>
    <row r="172" ht="14.25" customHeight="1">
      <c r="A172" s="686"/>
      <c r="B172" s="669"/>
      <c r="C172" s="669"/>
      <c r="D172" s="669"/>
      <c r="E172" s="669"/>
      <c r="F172" s="669"/>
      <c r="G172" s="669"/>
      <c r="H172" s="669"/>
      <c r="I172" s="669"/>
      <c r="J172" s="669"/>
      <c r="K172" s="669"/>
      <c r="L172" s="690"/>
      <c r="M172" s="690"/>
      <c r="N172" s="690"/>
      <c r="O172" s="68"/>
      <c r="P172" s="213"/>
      <c r="Q172" s="213"/>
    </row>
    <row r="173" ht="14.25" customHeight="1">
      <c r="A173" s="681" t="s">
        <v>313</v>
      </c>
      <c r="B173" s="701">
        <v>44102.0</v>
      </c>
      <c r="C173" s="677" t="s">
        <v>314</v>
      </c>
      <c r="D173" s="654" t="s">
        <v>240</v>
      </c>
      <c r="E173" s="654" t="s">
        <v>315</v>
      </c>
      <c r="F173" s="654" t="s">
        <v>316</v>
      </c>
      <c r="G173" s="654" t="s">
        <v>242</v>
      </c>
      <c r="H173" s="654"/>
      <c r="I173" s="654" t="s">
        <v>22</v>
      </c>
      <c r="J173" s="654" t="s">
        <v>125</v>
      </c>
      <c r="K173" s="654" t="s">
        <v>297</v>
      </c>
      <c r="L173" s="669"/>
      <c r="M173" s="669"/>
      <c r="N173" s="669"/>
      <c r="O173" s="654" t="s">
        <v>29</v>
      </c>
      <c r="P173" s="699"/>
      <c r="Q173" s="213"/>
    </row>
    <row r="174" ht="14.25" customHeight="1">
      <c r="A174" s="685"/>
      <c r="C174" s="669"/>
      <c r="D174" s="669"/>
      <c r="E174" s="669"/>
      <c r="F174" s="669"/>
      <c r="G174" s="669"/>
      <c r="H174" s="669"/>
      <c r="I174" s="669"/>
      <c r="J174" s="669"/>
      <c r="K174" s="68" t="s">
        <v>317</v>
      </c>
      <c r="L174" s="669"/>
      <c r="M174" s="669"/>
      <c r="N174" s="669"/>
      <c r="O174" s="669"/>
      <c r="P174" s="213"/>
      <c r="Q174" s="213"/>
      <c r="R174" s="699"/>
      <c r="S174" s="699"/>
    </row>
    <row r="175" ht="14.25" customHeight="1">
      <c r="A175" s="703"/>
      <c r="K175" s="390" t="s">
        <v>318</v>
      </c>
    </row>
    <row r="176" ht="14.25" customHeight="1">
      <c r="A176" s="692"/>
      <c r="K176" s="390" t="s">
        <v>319</v>
      </c>
      <c r="R176" s="699"/>
      <c r="S176" s="699"/>
    </row>
    <row r="177" ht="14.25" customHeight="1">
      <c r="A177" s="689"/>
      <c r="K177" s="390" t="s">
        <v>320</v>
      </c>
      <c r="L177" s="213"/>
      <c r="M177" s="213"/>
      <c r="N177" s="213"/>
      <c r="O177" s="213"/>
      <c r="P177" s="213"/>
      <c r="Q177" s="213"/>
    </row>
    <row r="178" ht="14.25" customHeight="1">
      <c r="A178" s="702"/>
    </row>
    <row r="179" ht="14.25" customHeight="1">
      <c r="A179" s="702"/>
      <c r="L179" s="700"/>
      <c r="M179" s="700"/>
      <c r="N179" s="700"/>
    </row>
    <row r="180" ht="14.25" customHeight="1">
      <c r="A180" s="675" t="s">
        <v>321</v>
      </c>
      <c r="B180" s="701">
        <v>44106.0</v>
      </c>
      <c r="C180" s="677" t="s">
        <v>322</v>
      </c>
      <c r="D180" s="654" t="s">
        <v>40</v>
      </c>
      <c r="E180" s="654"/>
      <c r="F180" s="654" t="s">
        <v>323</v>
      </c>
      <c r="G180" s="654" t="s">
        <v>155</v>
      </c>
      <c r="H180" s="654"/>
      <c r="I180" s="654" t="s">
        <v>22</v>
      </c>
      <c r="J180" s="672"/>
      <c r="K180" s="654" t="s">
        <v>275</v>
      </c>
      <c r="L180" s="669"/>
      <c r="M180" s="669"/>
      <c r="N180" s="669"/>
      <c r="O180" s="672"/>
      <c r="P180" s="699"/>
      <c r="Q180" s="213"/>
    </row>
    <row r="181" ht="14.25" customHeight="1">
      <c r="A181" s="667"/>
      <c r="C181" s="669"/>
      <c r="D181" s="669"/>
      <c r="E181" s="669"/>
      <c r="F181" s="669"/>
      <c r="G181" s="669"/>
      <c r="H181" s="669"/>
      <c r="I181" s="669"/>
      <c r="J181" s="669"/>
      <c r="K181" s="669"/>
      <c r="L181" s="690"/>
      <c r="M181" s="690"/>
      <c r="N181" s="690"/>
      <c r="O181" s="669"/>
      <c r="P181" s="213"/>
      <c r="Q181" s="213"/>
    </row>
    <row r="182" ht="14.25" customHeight="1">
      <c r="A182" s="675" t="s">
        <v>324</v>
      </c>
      <c r="B182" s="701">
        <v>44106.0</v>
      </c>
      <c r="C182" s="677" t="s">
        <v>325</v>
      </c>
      <c r="D182" s="654" t="s">
        <v>40</v>
      </c>
      <c r="E182" s="654"/>
      <c r="F182" s="654" t="s">
        <v>323</v>
      </c>
      <c r="G182" s="654" t="s">
        <v>155</v>
      </c>
      <c r="H182" s="654"/>
      <c r="I182" s="654" t="s">
        <v>22</v>
      </c>
      <c r="J182" s="654" t="s">
        <v>326</v>
      </c>
      <c r="K182" s="654" t="s">
        <v>327</v>
      </c>
      <c r="L182" s="68" t="s">
        <v>254</v>
      </c>
      <c r="M182" s="669"/>
      <c r="N182" s="669"/>
      <c r="O182" s="654" t="s">
        <v>29</v>
      </c>
      <c r="P182" s="699"/>
      <c r="Q182" s="213"/>
      <c r="W182" s="682"/>
      <c r="X182" s="682"/>
      <c r="Y182" s="682"/>
      <c r="Z182" s="682"/>
      <c r="AA182" s="682"/>
      <c r="AB182" s="682"/>
      <c r="AC182" s="682"/>
      <c r="AD182" s="682"/>
      <c r="AE182" s="682"/>
    </row>
    <row r="183" ht="14.25" customHeight="1">
      <c r="A183" s="704"/>
      <c r="C183" s="669"/>
      <c r="D183" s="669"/>
      <c r="E183" s="669"/>
      <c r="F183" s="669"/>
      <c r="G183" s="669"/>
      <c r="H183" s="669"/>
      <c r="I183" s="669"/>
      <c r="J183" s="669"/>
      <c r="K183" s="68" t="s">
        <v>2890</v>
      </c>
      <c r="L183" s="68" t="s">
        <v>256</v>
      </c>
      <c r="M183" s="669"/>
      <c r="N183" s="669"/>
      <c r="O183" s="669"/>
      <c r="P183" s="213"/>
      <c r="Q183" s="213"/>
      <c r="W183" s="682"/>
      <c r="X183" s="682"/>
      <c r="Y183" s="682"/>
      <c r="Z183" s="682"/>
      <c r="AA183" s="682"/>
      <c r="AB183" s="682"/>
      <c r="AC183" s="682"/>
      <c r="AD183" s="682"/>
      <c r="AE183" s="682"/>
    </row>
    <row r="184" ht="14.25" customHeight="1">
      <c r="A184" s="702"/>
      <c r="C184" s="669"/>
      <c r="D184" s="669"/>
      <c r="E184" s="669"/>
      <c r="F184" s="669"/>
      <c r="G184" s="669"/>
      <c r="H184" s="669"/>
      <c r="I184" s="669"/>
      <c r="J184" s="669"/>
      <c r="K184" s="68" t="s">
        <v>2891</v>
      </c>
      <c r="L184" s="68"/>
      <c r="M184" s="669"/>
      <c r="N184" s="669"/>
      <c r="O184" s="669"/>
      <c r="P184" s="213"/>
      <c r="Q184" s="213"/>
      <c r="T184" s="682"/>
      <c r="U184" s="682"/>
      <c r="V184" s="682"/>
    </row>
    <row r="185" ht="14.25" customHeight="1">
      <c r="A185" s="702"/>
      <c r="K185" s="68" t="s">
        <v>2892</v>
      </c>
      <c r="Q185" s="213"/>
      <c r="T185" s="682"/>
      <c r="U185" s="682"/>
      <c r="V185" s="682"/>
    </row>
    <row r="186" ht="14.25" customHeight="1">
      <c r="A186" s="702"/>
      <c r="Q186" s="213"/>
      <c r="W186" s="682"/>
      <c r="X186" s="682"/>
      <c r="Y186" s="682"/>
      <c r="Z186" s="682"/>
      <c r="AA186" s="682"/>
      <c r="AB186" s="682"/>
      <c r="AC186" s="682"/>
      <c r="AD186" s="682"/>
      <c r="AE186" s="682"/>
    </row>
    <row r="187" ht="14.25" customHeight="1">
      <c r="A187" s="705" t="s">
        <v>331</v>
      </c>
      <c r="B187" s="706">
        <v>44140.0</v>
      </c>
      <c r="C187" s="707" t="s">
        <v>332</v>
      </c>
      <c r="D187" s="708" t="s">
        <v>333</v>
      </c>
      <c r="E187" s="708"/>
      <c r="F187" s="708" t="s">
        <v>334</v>
      </c>
      <c r="G187" s="708" t="s">
        <v>242</v>
      </c>
      <c r="H187" s="708"/>
      <c r="I187" s="708" t="s">
        <v>225</v>
      </c>
      <c r="J187" s="709"/>
      <c r="K187" s="708"/>
      <c r="L187" s="709"/>
      <c r="M187" s="709"/>
      <c r="N187" s="709"/>
      <c r="O187" s="709"/>
      <c r="P187" s="710"/>
      <c r="Q187" s="710"/>
      <c r="R187" s="711"/>
      <c r="S187" s="711"/>
      <c r="T187" s="712"/>
      <c r="U187" s="712"/>
      <c r="V187" s="712"/>
      <c r="W187" s="712"/>
      <c r="X187" s="712"/>
      <c r="Y187" s="712"/>
      <c r="Z187" s="712"/>
      <c r="AA187" s="712"/>
      <c r="AB187" s="712"/>
      <c r="AC187" s="712"/>
      <c r="AD187" s="712"/>
      <c r="AE187" s="712"/>
    </row>
    <row r="188" ht="14.25" customHeight="1">
      <c r="A188" s="685"/>
      <c r="C188" s="387"/>
      <c r="D188" s="669"/>
      <c r="E188" s="68"/>
      <c r="F188" s="68"/>
      <c r="G188" s="669"/>
      <c r="H188" s="68"/>
      <c r="I188" s="68"/>
      <c r="J188" s="669"/>
      <c r="K188" s="669"/>
      <c r="L188" s="669"/>
      <c r="M188" s="669"/>
      <c r="N188" s="669"/>
      <c r="O188" s="669"/>
      <c r="P188" s="213"/>
      <c r="Q188" s="699"/>
      <c r="R188" s="682"/>
      <c r="S188" s="682"/>
      <c r="T188" s="682"/>
      <c r="U188" s="682"/>
      <c r="V188" s="682"/>
    </row>
    <row r="189" ht="14.25" customHeight="1">
      <c r="A189" s="685"/>
      <c r="C189" s="387"/>
      <c r="D189" s="68"/>
      <c r="E189" s="68"/>
      <c r="F189" s="68"/>
      <c r="G189" s="669"/>
      <c r="H189" s="68"/>
      <c r="I189" s="68"/>
      <c r="J189" s="669"/>
      <c r="K189" s="669"/>
      <c r="L189" s="669"/>
      <c r="M189" s="669"/>
      <c r="N189" s="669"/>
      <c r="O189" s="669"/>
      <c r="P189" s="213"/>
      <c r="Q189" s="213"/>
      <c r="W189" s="682"/>
      <c r="X189" s="682"/>
      <c r="Y189" s="682"/>
      <c r="Z189" s="682"/>
      <c r="AA189" s="682"/>
      <c r="AB189" s="682"/>
      <c r="AC189" s="682"/>
      <c r="AD189" s="682"/>
      <c r="AE189" s="682"/>
    </row>
    <row r="190" ht="14.25" customHeight="1">
      <c r="A190" s="713" t="s">
        <v>335</v>
      </c>
      <c r="B190" s="706">
        <v>44140.0</v>
      </c>
      <c r="C190" s="714" t="s">
        <v>336</v>
      </c>
      <c r="D190" s="708" t="s">
        <v>333</v>
      </c>
      <c r="E190" s="715"/>
      <c r="F190" s="715" t="s">
        <v>337</v>
      </c>
      <c r="G190" s="708" t="s">
        <v>242</v>
      </c>
      <c r="H190" s="715"/>
      <c r="I190" s="715" t="s">
        <v>225</v>
      </c>
      <c r="J190" s="711"/>
      <c r="K190" s="711"/>
      <c r="L190" s="710"/>
      <c r="M190" s="710"/>
      <c r="N190" s="710"/>
      <c r="O190" s="710"/>
      <c r="P190" s="710"/>
      <c r="Q190" s="716"/>
      <c r="R190" s="712"/>
      <c r="S190" s="712"/>
      <c r="T190" s="712"/>
      <c r="U190" s="712"/>
      <c r="V190" s="712"/>
      <c r="W190" s="712"/>
      <c r="X190" s="712"/>
      <c r="Y190" s="712"/>
      <c r="Z190" s="712"/>
      <c r="AA190" s="712"/>
      <c r="AB190" s="712"/>
      <c r="AC190" s="712"/>
      <c r="AD190" s="712"/>
      <c r="AE190" s="712"/>
    </row>
    <row r="191" ht="14.25" customHeight="1">
      <c r="A191" s="703"/>
      <c r="C191" s="717"/>
      <c r="E191" s="390"/>
      <c r="F191" s="390"/>
      <c r="L191" s="213"/>
      <c r="M191" s="213"/>
      <c r="N191" s="213"/>
      <c r="O191" s="213"/>
      <c r="P191" s="213"/>
      <c r="Q191" s="699"/>
      <c r="R191" s="682"/>
      <c r="S191" s="682"/>
      <c r="T191" s="682"/>
      <c r="U191" s="682"/>
      <c r="V191" s="682"/>
    </row>
    <row r="192" ht="14.25" customHeight="1">
      <c r="A192" s="718"/>
      <c r="C192" s="717"/>
      <c r="E192" s="390"/>
      <c r="F192" s="390"/>
      <c r="L192" s="213"/>
      <c r="M192" s="213"/>
      <c r="N192" s="213"/>
      <c r="O192" s="213"/>
      <c r="P192" s="213"/>
      <c r="Q192" s="213"/>
    </row>
    <row r="193" ht="14.25" customHeight="1">
      <c r="A193" s="719" t="s">
        <v>338</v>
      </c>
      <c r="B193" s="706">
        <v>44140.0</v>
      </c>
      <c r="C193" s="714" t="s">
        <v>339</v>
      </c>
      <c r="D193" s="708" t="s">
        <v>333</v>
      </c>
      <c r="E193" s="715"/>
      <c r="F193" s="715" t="s">
        <v>340</v>
      </c>
      <c r="G193" s="708" t="s">
        <v>242</v>
      </c>
      <c r="H193" s="708"/>
      <c r="I193" s="708" t="s">
        <v>22</v>
      </c>
      <c r="J193" s="711"/>
      <c r="K193" s="711"/>
      <c r="L193" s="710"/>
      <c r="M193" s="710"/>
      <c r="N193" s="710"/>
      <c r="O193" s="710"/>
      <c r="P193" s="710"/>
      <c r="Q193" s="716"/>
      <c r="R193" s="712"/>
      <c r="S193" s="712"/>
      <c r="T193" s="712"/>
      <c r="U193" s="712"/>
      <c r="V193" s="712"/>
      <c r="W193" s="712"/>
      <c r="X193" s="712"/>
      <c r="Y193" s="712"/>
      <c r="Z193" s="712"/>
      <c r="AA193" s="712"/>
      <c r="AB193" s="712"/>
      <c r="AC193" s="712"/>
      <c r="AD193" s="712"/>
      <c r="AE193" s="712"/>
    </row>
    <row r="194" ht="14.25" customHeight="1">
      <c r="A194" s="692"/>
      <c r="C194" s="717"/>
      <c r="E194" s="390"/>
      <c r="F194" s="390"/>
      <c r="L194" s="213"/>
      <c r="M194" s="213"/>
      <c r="N194" s="213"/>
      <c r="O194" s="213"/>
      <c r="P194" s="213"/>
      <c r="Q194" s="699"/>
      <c r="R194" s="682"/>
      <c r="S194" s="682"/>
      <c r="W194" s="682"/>
      <c r="X194" s="682"/>
      <c r="Y194" s="682"/>
      <c r="Z194" s="682"/>
      <c r="AA194" s="682"/>
      <c r="AB194" s="682"/>
      <c r="AC194" s="682"/>
      <c r="AD194" s="682"/>
      <c r="AE194" s="720"/>
    </row>
    <row r="195" ht="14.25" customHeight="1">
      <c r="A195" s="718"/>
      <c r="C195" s="717"/>
      <c r="E195" s="390"/>
      <c r="F195" s="390"/>
      <c r="L195" s="213"/>
      <c r="M195" s="213"/>
      <c r="N195" s="213"/>
      <c r="O195" s="213"/>
      <c r="P195" s="213"/>
      <c r="Q195" s="213"/>
      <c r="AE195" s="721"/>
    </row>
    <row r="196" ht="14.25" customHeight="1">
      <c r="A196" s="722" t="s">
        <v>341</v>
      </c>
      <c r="B196" s="706">
        <v>44140.0</v>
      </c>
      <c r="C196" s="714" t="s">
        <v>342</v>
      </c>
      <c r="D196" s="708" t="s">
        <v>333</v>
      </c>
      <c r="E196" s="715"/>
      <c r="F196" s="715" t="s">
        <v>343</v>
      </c>
      <c r="G196" s="708" t="s">
        <v>242</v>
      </c>
      <c r="H196" s="708"/>
      <c r="I196" s="708" t="s">
        <v>22</v>
      </c>
      <c r="J196" s="711"/>
      <c r="K196" s="711"/>
      <c r="L196" s="710"/>
      <c r="M196" s="710"/>
      <c r="N196" s="710"/>
      <c r="O196" s="710"/>
      <c r="P196" s="710"/>
      <c r="Q196" s="710"/>
      <c r="R196" s="711"/>
      <c r="S196" s="711"/>
      <c r="T196" s="711"/>
      <c r="U196" s="711"/>
      <c r="V196" s="711"/>
      <c r="W196" s="712"/>
      <c r="X196" s="712"/>
      <c r="Y196" s="712"/>
      <c r="Z196" s="712"/>
      <c r="AA196" s="712"/>
      <c r="AB196" s="712"/>
      <c r="AC196" s="712"/>
      <c r="AD196" s="712"/>
      <c r="AE196" s="723"/>
    </row>
    <row r="197" ht="14.25" customHeight="1">
      <c r="A197" s="702"/>
      <c r="AE197" s="721"/>
    </row>
    <row r="198" ht="14.25" customHeight="1">
      <c r="A198" s="702"/>
      <c r="K198" s="700"/>
      <c r="L198" s="700"/>
      <c r="M198" s="700"/>
      <c r="N198" s="700"/>
      <c r="O198" s="700"/>
      <c r="AE198" s="721"/>
    </row>
    <row r="199" ht="14.25" customHeight="1">
      <c r="A199" s="724" t="s">
        <v>344</v>
      </c>
      <c r="B199" s="701">
        <v>44140.0</v>
      </c>
      <c r="C199" s="725" t="s">
        <v>345</v>
      </c>
      <c r="D199" s="560" t="s">
        <v>346</v>
      </c>
      <c r="E199" s="560"/>
      <c r="F199" s="560" t="s">
        <v>347</v>
      </c>
      <c r="G199" s="654" t="s">
        <v>242</v>
      </c>
      <c r="H199" s="560"/>
      <c r="I199" s="560" t="s">
        <v>34</v>
      </c>
      <c r="J199" s="682" t="s">
        <v>348</v>
      </c>
      <c r="L199" s="213"/>
      <c r="M199" s="213"/>
      <c r="N199" s="213"/>
      <c r="O199" s="213"/>
      <c r="P199" s="213"/>
      <c r="Q199" s="213"/>
      <c r="W199" s="700"/>
      <c r="X199" s="700"/>
      <c r="Y199" s="700"/>
      <c r="Z199" s="700"/>
      <c r="AA199" s="700"/>
      <c r="AB199" s="700"/>
      <c r="AC199" s="700"/>
      <c r="AD199" s="700"/>
      <c r="AE199" s="726"/>
    </row>
    <row r="200" ht="14.25" customHeight="1">
      <c r="A200" s="702"/>
    </row>
    <row r="201" ht="14.25" customHeight="1">
      <c r="A201" s="702"/>
      <c r="K201" s="700"/>
      <c r="L201" s="700"/>
      <c r="M201" s="700"/>
      <c r="N201" s="700"/>
      <c r="O201" s="700"/>
      <c r="T201" s="700"/>
      <c r="U201" s="700"/>
      <c r="V201" s="700"/>
    </row>
    <row r="202" ht="14.25" customHeight="1">
      <c r="A202" s="724" t="s">
        <v>349</v>
      </c>
      <c r="B202" s="701">
        <v>44140.0</v>
      </c>
      <c r="C202" s="725" t="s">
        <v>350</v>
      </c>
      <c r="D202" s="560" t="s">
        <v>346</v>
      </c>
      <c r="E202" s="682"/>
      <c r="F202" s="682" t="s">
        <v>351</v>
      </c>
      <c r="G202" s="654" t="s">
        <v>242</v>
      </c>
      <c r="H202" s="560"/>
      <c r="I202" s="560" t="s">
        <v>34</v>
      </c>
      <c r="J202" s="682" t="s">
        <v>352</v>
      </c>
      <c r="L202" s="213"/>
      <c r="M202" s="213"/>
      <c r="N202" s="213"/>
      <c r="O202" s="213"/>
      <c r="P202" s="213"/>
      <c r="Q202" s="213"/>
    </row>
    <row r="203" ht="14.25" customHeight="1">
      <c r="A203" s="702"/>
    </row>
    <row r="204" ht="14.25" customHeight="1">
      <c r="A204" s="702"/>
      <c r="K204" s="700"/>
      <c r="L204" s="700"/>
      <c r="M204" s="700"/>
      <c r="N204" s="700"/>
      <c r="O204" s="700"/>
    </row>
    <row r="205" ht="14.25" customHeight="1">
      <c r="A205" s="724" t="s">
        <v>353</v>
      </c>
      <c r="B205" s="701">
        <v>44140.0</v>
      </c>
      <c r="C205" s="725" t="s">
        <v>354</v>
      </c>
      <c r="D205" s="560" t="s">
        <v>346</v>
      </c>
      <c r="E205" s="682"/>
      <c r="F205" s="682" t="s">
        <v>355</v>
      </c>
      <c r="G205" s="654" t="s">
        <v>242</v>
      </c>
      <c r="H205" s="560"/>
      <c r="I205" s="560" t="s">
        <v>34</v>
      </c>
      <c r="J205" s="682" t="s">
        <v>356</v>
      </c>
      <c r="L205" s="213"/>
      <c r="M205" s="213"/>
      <c r="N205" s="213"/>
      <c r="O205" s="213"/>
      <c r="P205" s="213"/>
      <c r="Q205" s="213"/>
      <c r="R205" s="700"/>
      <c r="S205" s="700"/>
    </row>
    <row r="206" ht="14.25" customHeight="1">
      <c r="A206" s="702"/>
    </row>
    <row r="207" ht="14.25" customHeight="1">
      <c r="A207" s="702"/>
      <c r="K207" s="700"/>
      <c r="L207" s="700"/>
      <c r="M207" s="700"/>
      <c r="N207" s="700"/>
      <c r="O207" s="700"/>
      <c r="P207" s="700"/>
    </row>
    <row r="208" ht="14.25" customHeight="1">
      <c r="A208" s="724" t="s">
        <v>357</v>
      </c>
      <c r="B208" s="701">
        <v>44140.0</v>
      </c>
      <c r="C208" s="725" t="s">
        <v>358</v>
      </c>
      <c r="D208" s="560" t="s">
        <v>346</v>
      </c>
      <c r="E208" s="682"/>
      <c r="F208" s="682" t="s">
        <v>359</v>
      </c>
      <c r="G208" s="654" t="s">
        <v>242</v>
      </c>
      <c r="H208" s="560"/>
      <c r="I208" s="560" t="s">
        <v>34</v>
      </c>
      <c r="J208" s="682" t="s">
        <v>360</v>
      </c>
      <c r="L208" s="213"/>
      <c r="M208" s="213"/>
      <c r="N208" s="213"/>
      <c r="O208" s="213"/>
      <c r="P208" s="213"/>
    </row>
    <row r="209" ht="14.25" customHeight="1">
      <c r="A209" s="702"/>
    </row>
    <row r="210" ht="14.25" customHeight="1">
      <c r="A210" s="702"/>
      <c r="J210" s="700"/>
      <c r="K210" s="700"/>
      <c r="L210" s="700"/>
      <c r="M210" s="700"/>
      <c r="N210" s="700"/>
      <c r="O210" s="700"/>
      <c r="P210" s="700"/>
    </row>
    <row r="211" ht="14.25" customHeight="1">
      <c r="A211" s="724" t="s">
        <v>361</v>
      </c>
      <c r="B211" s="701">
        <v>44140.0</v>
      </c>
      <c r="C211" s="725" t="s">
        <v>362</v>
      </c>
      <c r="D211" s="560" t="s">
        <v>346</v>
      </c>
      <c r="E211" s="682"/>
      <c r="F211" s="682" t="s">
        <v>363</v>
      </c>
      <c r="G211" s="654" t="s">
        <v>242</v>
      </c>
      <c r="H211" s="560"/>
      <c r="I211" s="560" t="s">
        <v>34</v>
      </c>
      <c r="J211" s="304" t="s">
        <v>364</v>
      </c>
    </row>
    <row r="212" ht="14.25" customHeight="1">
      <c r="A212" s="702"/>
    </row>
    <row r="213" ht="14.25" customHeight="1">
      <c r="A213" s="702"/>
    </row>
    <row r="214" ht="14.25" customHeight="1">
      <c r="A214" s="727" t="s">
        <v>365</v>
      </c>
      <c r="B214" s="728">
        <v>44147.0</v>
      </c>
      <c r="C214" s="725" t="s">
        <v>366</v>
      </c>
      <c r="D214" s="560" t="s">
        <v>40</v>
      </c>
      <c r="E214" s="560" t="s">
        <v>367</v>
      </c>
      <c r="F214" s="560" t="s">
        <v>368</v>
      </c>
      <c r="G214" s="654" t="s">
        <v>242</v>
      </c>
      <c r="H214" s="560"/>
      <c r="I214" s="560" t="s">
        <v>22</v>
      </c>
      <c r="J214" s="682" t="s">
        <v>369</v>
      </c>
      <c r="K214" s="682"/>
      <c r="L214" s="682"/>
      <c r="M214" s="682"/>
      <c r="N214" s="682"/>
      <c r="O214" s="682"/>
      <c r="P214" s="682"/>
    </row>
    <row r="215" ht="14.25" customHeight="1">
      <c r="A215" s="702"/>
      <c r="C215" s="390" t="s">
        <v>370</v>
      </c>
      <c r="W215" s="682"/>
      <c r="X215" s="682"/>
      <c r="Y215" s="682"/>
      <c r="Z215" s="682"/>
      <c r="AA215" s="682"/>
      <c r="AB215" s="682"/>
      <c r="AC215" s="682"/>
      <c r="AD215" s="682"/>
      <c r="AE215" s="682"/>
    </row>
    <row r="216" ht="14.25" customHeight="1">
      <c r="A216" s="702" t="s">
        <v>249</v>
      </c>
    </row>
    <row r="217" ht="14.25" customHeight="1">
      <c r="A217" s="727" t="s">
        <v>371</v>
      </c>
      <c r="B217" s="728">
        <v>44148.0</v>
      </c>
      <c r="C217" s="725" t="s">
        <v>372</v>
      </c>
      <c r="D217" s="682" t="s">
        <v>373</v>
      </c>
      <c r="E217" s="560"/>
      <c r="F217" s="560" t="s">
        <v>97</v>
      </c>
      <c r="G217" s="654" t="s">
        <v>42</v>
      </c>
      <c r="H217" s="560"/>
      <c r="I217" s="560" t="s">
        <v>22</v>
      </c>
      <c r="J217" s="682"/>
      <c r="K217" s="682"/>
      <c r="L217" s="682"/>
      <c r="M217" s="682"/>
      <c r="N217" s="682"/>
      <c r="O217" s="682"/>
      <c r="P217" s="682"/>
      <c r="Q217" s="682"/>
      <c r="R217" s="682"/>
      <c r="S217" s="682"/>
      <c r="T217" s="682"/>
      <c r="U217" s="682"/>
      <c r="V217" s="682"/>
    </row>
    <row r="218" ht="14.25" customHeight="1">
      <c r="A218" s="729"/>
      <c r="B218" s="313"/>
      <c r="C218" s="313"/>
      <c r="W218" s="682"/>
      <c r="X218" s="682"/>
      <c r="Y218" s="682"/>
      <c r="Z218" s="682"/>
      <c r="AA218" s="682"/>
      <c r="AB218" s="682"/>
      <c r="AC218" s="682"/>
      <c r="AD218" s="682"/>
      <c r="AE218" s="682"/>
    </row>
    <row r="219" ht="14.25" customHeight="1">
      <c r="A219" s="729"/>
      <c r="B219" s="313"/>
      <c r="C219" s="313"/>
    </row>
    <row r="220" ht="14.25" customHeight="1">
      <c r="A220" s="727" t="s">
        <v>374</v>
      </c>
      <c r="B220" s="728">
        <v>44148.0</v>
      </c>
      <c r="C220" s="725" t="s">
        <v>375</v>
      </c>
      <c r="D220" s="682" t="s">
        <v>373</v>
      </c>
      <c r="E220" s="560"/>
      <c r="F220" s="560" t="s">
        <v>97</v>
      </c>
      <c r="G220" s="654" t="s">
        <v>42</v>
      </c>
      <c r="H220" s="560"/>
      <c r="I220" s="560" t="s">
        <v>22</v>
      </c>
      <c r="J220" s="682"/>
      <c r="K220" s="682"/>
      <c r="L220" s="682"/>
      <c r="M220" s="682"/>
      <c r="N220" s="682"/>
      <c r="O220" s="682"/>
      <c r="P220" s="682"/>
      <c r="Q220" s="682"/>
      <c r="R220" s="682"/>
      <c r="S220" s="682"/>
      <c r="T220" s="682"/>
      <c r="U220" s="682"/>
      <c r="V220" s="682"/>
    </row>
    <row r="221" ht="14.25" customHeight="1">
      <c r="A221" s="729"/>
      <c r="B221" s="313"/>
      <c r="C221" s="313"/>
      <c r="W221" s="682"/>
      <c r="X221" s="682"/>
      <c r="Y221" s="682"/>
      <c r="Z221" s="682"/>
      <c r="AA221" s="682"/>
      <c r="AB221" s="682"/>
      <c r="AC221" s="682"/>
      <c r="AD221" s="682"/>
      <c r="AE221" s="682"/>
    </row>
    <row r="222" ht="14.25" customHeight="1">
      <c r="A222" s="729"/>
      <c r="B222" s="313"/>
      <c r="C222" s="313"/>
    </row>
    <row r="223" ht="14.25" customHeight="1">
      <c r="A223" s="727" t="s">
        <v>376</v>
      </c>
      <c r="B223" s="728">
        <v>44148.0</v>
      </c>
      <c r="C223" s="725" t="s">
        <v>377</v>
      </c>
      <c r="D223" s="682" t="s">
        <v>373</v>
      </c>
      <c r="E223" s="560"/>
      <c r="F223" s="560" t="s">
        <v>97</v>
      </c>
      <c r="G223" s="654" t="s">
        <v>42</v>
      </c>
      <c r="H223" s="560"/>
      <c r="I223" s="560" t="s">
        <v>22</v>
      </c>
      <c r="J223" s="682"/>
      <c r="K223" s="682"/>
      <c r="L223" s="682"/>
      <c r="M223" s="682"/>
      <c r="N223" s="682"/>
      <c r="O223" s="682"/>
      <c r="P223" s="682"/>
      <c r="Q223" s="682"/>
      <c r="R223" s="682"/>
      <c r="S223" s="682"/>
      <c r="T223" s="682"/>
      <c r="U223" s="682"/>
      <c r="V223" s="682"/>
    </row>
    <row r="224" ht="14.25" customHeight="1">
      <c r="A224" s="702"/>
      <c r="B224" s="313"/>
      <c r="W224" s="682"/>
      <c r="X224" s="682"/>
      <c r="Y224" s="682"/>
      <c r="Z224" s="682"/>
      <c r="AA224" s="682"/>
      <c r="AB224" s="682"/>
      <c r="AC224" s="682"/>
      <c r="AD224" s="682"/>
      <c r="AE224" s="682"/>
    </row>
    <row r="225" ht="14.25" customHeight="1">
      <c r="A225" s="702"/>
    </row>
    <row r="226" ht="14.25" customHeight="1">
      <c r="A226" s="727" t="s">
        <v>378</v>
      </c>
      <c r="B226" s="728">
        <v>44152.0</v>
      </c>
      <c r="C226" s="725" t="s">
        <v>379</v>
      </c>
      <c r="D226" s="560" t="s">
        <v>380</v>
      </c>
      <c r="E226" s="560"/>
      <c r="F226" s="560" t="s">
        <v>381</v>
      </c>
      <c r="G226" s="654" t="s">
        <v>382</v>
      </c>
      <c r="H226" s="560"/>
      <c r="I226" s="560" t="s">
        <v>22</v>
      </c>
      <c r="J226" s="682"/>
      <c r="K226" s="682"/>
      <c r="L226" s="682"/>
      <c r="M226" s="682"/>
      <c r="N226" s="682"/>
      <c r="O226" s="682"/>
      <c r="P226" s="682"/>
      <c r="Q226" s="682"/>
      <c r="R226" s="682"/>
      <c r="S226" s="682"/>
      <c r="T226" s="682"/>
      <c r="U226" s="682"/>
      <c r="V226" s="682"/>
    </row>
    <row r="227" ht="14.25" customHeight="1">
      <c r="A227" s="702"/>
    </row>
    <row r="228" ht="14.25" customHeight="1">
      <c r="A228" s="730"/>
      <c r="B228" s="700"/>
      <c r="C228" s="700"/>
      <c r="D228" s="700"/>
      <c r="E228" s="700"/>
      <c r="F228" s="700"/>
      <c r="G228" s="700"/>
      <c r="J228" s="700"/>
      <c r="K228" s="700"/>
      <c r="L228" s="700"/>
      <c r="M228" s="700"/>
      <c r="N228" s="700"/>
    </row>
    <row r="229" ht="14.25" customHeight="1">
      <c r="A229" s="729" t="s">
        <v>384</v>
      </c>
      <c r="B229" s="731">
        <v>44169.0</v>
      </c>
      <c r="C229" s="313" t="s">
        <v>107</v>
      </c>
      <c r="D229" s="390" t="s">
        <v>40</v>
      </c>
      <c r="E229" s="390" t="s">
        <v>385</v>
      </c>
      <c r="F229" s="390" t="s">
        <v>386</v>
      </c>
      <c r="G229" s="654" t="s">
        <v>382</v>
      </c>
      <c r="H229" s="560"/>
      <c r="I229" s="560" t="s">
        <v>22</v>
      </c>
      <c r="J229" s="390" t="s">
        <v>387</v>
      </c>
      <c r="K229" s="390" t="s">
        <v>388</v>
      </c>
      <c r="L229" s="669" t="s">
        <v>389</v>
      </c>
      <c r="O229" s="560" t="s">
        <v>29</v>
      </c>
      <c r="P229" s="682"/>
    </row>
    <row r="230" ht="14.25" customHeight="1">
      <c r="A230" s="702"/>
      <c r="K230" s="390" t="s">
        <v>390</v>
      </c>
      <c r="L230" s="669" t="s">
        <v>391</v>
      </c>
      <c r="X230" s="712"/>
      <c r="Y230" s="712"/>
      <c r="Z230" s="712"/>
      <c r="AA230" s="712"/>
      <c r="AB230" s="712"/>
      <c r="AC230" s="712"/>
      <c r="AD230" s="712"/>
      <c r="AE230" s="712"/>
    </row>
    <row r="231" ht="14.25" customHeight="1">
      <c r="A231" s="702"/>
      <c r="K231" s="390" t="s">
        <v>392</v>
      </c>
    </row>
    <row r="232" ht="14.25" customHeight="1">
      <c r="A232" s="702"/>
      <c r="K232" s="390" t="s">
        <v>393</v>
      </c>
    </row>
    <row r="233" ht="14.25" customHeight="1">
      <c r="A233" s="702"/>
      <c r="W233" s="712"/>
    </row>
    <row r="234" ht="14.25" customHeight="1">
      <c r="A234" s="702"/>
    </row>
    <row r="235" ht="14.25" customHeight="1">
      <c r="A235" s="732" t="s">
        <v>394</v>
      </c>
      <c r="B235" s="733">
        <v>44180.0</v>
      </c>
      <c r="C235" s="714" t="s">
        <v>395</v>
      </c>
      <c r="D235" s="715" t="s">
        <v>396</v>
      </c>
      <c r="E235" s="715"/>
      <c r="F235" s="715" t="s">
        <v>386</v>
      </c>
      <c r="G235" s="708" t="s">
        <v>397</v>
      </c>
      <c r="H235" s="715"/>
      <c r="I235" s="715" t="s">
        <v>22</v>
      </c>
      <c r="J235" s="711" t="s">
        <v>398</v>
      </c>
      <c r="K235" s="711"/>
      <c r="L235" s="711"/>
      <c r="M235" s="711"/>
      <c r="N235" s="711"/>
      <c r="O235" s="711"/>
      <c r="P235" s="711"/>
      <c r="Q235" s="711"/>
      <c r="R235" s="711"/>
      <c r="S235" s="712"/>
      <c r="T235" s="712"/>
      <c r="U235" s="712"/>
      <c r="V235" s="712"/>
    </row>
    <row r="236">
      <c r="A236" s="730"/>
      <c r="K236" s="700"/>
      <c r="L236" s="700"/>
      <c r="M236" s="700"/>
      <c r="N236" s="700"/>
    </row>
    <row r="237" ht="14.25" customHeight="1">
      <c r="A237" s="729" t="s">
        <v>399</v>
      </c>
      <c r="B237" s="728">
        <v>44153.0</v>
      </c>
      <c r="C237" s="725" t="s">
        <v>400</v>
      </c>
      <c r="D237" s="560" t="s">
        <v>40</v>
      </c>
      <c r="E237" s="560" t="s">
        <v>401</v>
      </c>
      <c r="F237" s="560" t="s">
        <v>402</v>
      </c>
      <c r="G237" s="654" t="s">
        <v>397</v>
      </c>
      <c r="H237" s="560"/>
      <c r="I237" s="560" t="s">
        <v>225</v>
      </c>
      <c r="J237" s="682"/>
      <c r="K237" s="390" t="s">
        <v>390</v>
      </c>
      <c r="O237" s="682"/>
      <c r="P237" s="682"/>
      <c r="Q237" s="682"/>
    </row>
    <row r="238" ht="14.25" customHeight="1">
      <c r="A238" s="702"/>
      <c r="K238" s="390" t="s">
        <v>403</v>
      </c>
    </row>
    <row r="239" ht="14.25" customHeight="1">
      <c r="A239" s="702"/>
    </row>
    <row r="240" ht="14.25" customHeight="1">
      <c r="A240" s="702"/>
    </row>
    <row r="241" ht="14.25" customHeight="1">
      <c r="A241" s="727" t="s">
        <v>404</v>
      </c>
      <c r="B241" s="734">
        <v>44210.0</v>
      </c>
      <c r="C241" s="725" t="s">
        <v>405</v>
      </c>
      <c r="D241" s="560" t="s">
        <v>406</v>
      </c>
      <c r="E241" s="560"/>
      <c r="F241" s="560" t="s">
        <v>407</v>
      </c>
      <c r="G241" s="654" t="s">
        <v>242</v>
      </c>
      <c r="H241" s="560"/>
      <c r="I241" s="560" t="s">
        <v>225</v>
      </c>
      <c r="J241" s="682"/>
      <c r="K241" s="682"/>
      <c r="L241" s="682"/>
      <c r="M241" s="682"/>
      <c r="N241" s="682"/>
      <c r="O241" s="682"/>
      <c r="P241" s="682"/>
      <c r="Q241" s="682"/>
      <c r="R241" s="682"/>
      <c r="S241" s="682"/>
      <c r="T241" s="682"/>
      <c r="U241" s="682"/>
      <c r="V241" s="682"/>
      <c r="W241" s="682"/>
      <c r="X241" s="682"/>
      <c r="Y241" s="682"/>
      <c r="Z241" s="682"/>
      <c r="AA241" s="682"/>
      <c r="AB241" s="682"/>
      <c r="AC241" s="682"/>
      <c r="AD241" s="682"/>
      <c r="AE241" s="682"/>
    </row>
    <row r="242" ht="14.25" customHeight="1">
      <c r="A242" s="729"/>
      <c r="C242" s="313"/>
      <c r="D242" s="390"/>
      <c r="E242" s="390"/>
      <c r="F242" s="390"/>
      <c r="H242" s="390"/>
      <c r="I242" s="390"/>
    </row>
    <row r="243" ht="14.25" customHeight="1">
      <c r="A243" s="729"/>
      <c r="C243" s="313"/>
      <c r="D243" s="390"/>
      <c r="E243" s="390"/>
      <c r="F243" s="390"/>
      <c r="H243" s="390"/>
      <c r="I243" s="390"/>
    </row>
    <row r="244" ht="14.25" customHeight="1">
      <c r="A244" s="727" t="s">
        <v>408</v>
      </c>
      <c r="B244" s="734">
        <v>44210.0</v>
      </c>
      <c r="C244" s="725" t="s">
        <v>409</v>
      </c>
      <c r="D244" s="560" t="s">
        <v>406</v>
      </c>
      <c r="E244" s="560"/>
      <c r="F244" s="560" t="s">
        <v>74</v>
      </c>
      <c r="G244" s="654" t="s">
        <v>242</v>
      </c>
      <c r="H244" s="560"/>
      <c r="I244" s="560" t="s">
        <v>225</v>
      </c>
      <c r="J244" s="682"/>
      <c r="K244" s="682"/>
      <c r="L244" s="682"/>
      <c r="M244" s="682"/>
      <c r="N244" s="682"/>
      <c r="O244" s="682"/>
      <c r="P244" s="682"/>
      <c r="Q244" s="682"/>
      <c r="R244" s="682"/>
      <c r="S244" s="682"/>
      <c r="T244" s="682"/>
      <c r="U244" s="682"/>
      <c r="V244" s="682"/>
      <c r="W244" s="682"/>
      <c r="X244" s="682"/>
      <c r="Y244" s="682"/>
      <c r="Z244" s="682"/>
      <c r="AA244" s="682"/>
      <c r="AB244" s="682"/>
      <c r="AC244" s="682"/>
      <c r="AD244" s="682"/>
      <c r="AE244" s="682"/>
    </row>
    <row r="245" ht="14.25" customHeight="1">
      <c r="A245" s="729"/>
      <c r="C245" s="313"/>
      <c r="D245" s="390"/>
      <c r="E245" s="390"/>
      <c r="F245" s="390"/>
      <c r="H245" s="390"/>
      <c r="I245" s="390"/>
    </row>
    <row r="246" ht="14.25" customHeight="1">
      <c r="A246" s="729"/>
      <c r="C246" s="313"/>
      <c r="D246" s="390"/>
      <c r="E246" s="390"/>
      <c r="F246" s="390"/>
      <c r="H246" s="390"/>
      <c r="I246" s="390"/>
    </row>
    <row r="247" ht="14.25" customHeight="1">
      <c r="A247" s="729"/>
      <c r="C247" s="313"/>
      <c r="D247" s="390"/>
      <c r="E247" s="390"/>
      <c r="F247" s="390"/>
      <c r="H247" s="390"/>
      <c r="I247" s="390"/>
    </row>
    <row r="248" ht="14.25" customHeight="1">
      <c r="A248" s="727" t="s">
        <v>410</v>
      </c>
      <c r="B248" s="734">
        <v>44210.0</v>
      </c>
      <c r="C248" s="725" t="s">
        <v>411</v>
      </c>
      <c r="D248" s="560" t="s">
        <v>406</v>
      </c>
      <c r="E248" s="560"/>
      <c r="F248" s="560" t="s">
        <v>74</v>
      </c>
      <c r="G248" s="560" t="s">
        <v>412</v>
      </c>
      <c r="H248" s="560"/>
      <c r="I248" s="560" t="s">
        <v>225</v>
      </c>
      <c r="J248" s="682"/>
      <c r="K248" s="682" t="s">
        <v>413</v>
      </c>
      <c r="L248" s="682"/>
      <c r="M248" s="682"/>
      <c r="N248" s="682"/>
      <c r="O248" s="682"/>
      <c r="P248" s="682"/>
      <c r="Q248" s="682"/>
      <c r="R248" s="682"/>
      <c r="S248" s="682"/>
      <c r="T248" s="682"/>
      <c r="U248" s="682"/>
      <c r="V248" s="682"/>
      <c r="W248" s="682"/>
      <c r="X248" s="682"/>
      <c r="Y248" s="682"/>
      <c r="Z248" s="682"/>
      <c r="AA248" s="682"/>
      <c r="AB248" s="682"/>
      <c r="AC248" s="682"/>
      <c r="AD248" s="682"/>
      <c r="AE248" s="682"/>
    </row>
    <row r="249" ht="14.25" customHeight="1">
      <c r="A249" s="729"/>
      <c r="C249" s="313"/>
      <c r="D249" s="390"/>
      <c r="E249" s="390"/>
      <c r="F249" s="390"/>
      <c r="G249" s="390"/>
      <c r="H249" s="390"/>
      <c r="I249" s="390"/>
      <c r="K249" s="304" t="s">
        <v>414</v>
      </c>
    </row>
    <row r="250" ht="14.25" customHeight="1">
      <c r="A250" s="729"/>
      <c r="C250" s="313"/>
      <c r="D250" s="390"/>
      <c r="E250" s="390"/>
      <c r="F250" s="390"/>
      <c r="G250" s="390"/>
      <c r="H250" s="390"/>
      <c r="I250" s="390"/>
      <c r="K250" s="304" t="s">
        <v>415</v>
      </c>
    </row>
    <row r="251" ht="14.25" customHeight="1">
      <c r="A251" s="729"/>
      <c r="C251" s="313"/>
      <c r="D251" s="390"/>
      <c r="E251" s="390"/>
      <c r="F251" s="390"/>
      <c r="G251" s="390"/>
      <c r="H251" s="390"/>
      <c r="I251" s="390"/>
    </row>
    <row r="252" ht="14.25" customHeight="1">
      <c r="A252" s="727" t="s">
        <v>416</v>
      </c>
      <c r="B252" s="734">
        <v>44210.0</v>
      </c>
      <c r="C252" s="725" t="s">
        <v>417</v>
      </c>
      <c r="D252" s="560" t="s">
        <v>406</v>
      </c>
      <c r="E252" s="560"/>
      <c r="F252" s="560" t="s">
        <v>74</v>
      </c>
      <c r="G252" s="560" t="s">
        <v>412</v>
      </c>
      <c r="H252" s="560"/>
      <c r="I252" s="560" t="s">
        <v>225</v>
      </c>
      <c r="J252" s="682" t="s">
        <v>419</v>
      </c>
      <c r="K252" s="560" t="s">
        <v>2893</v>
      </c>
      <c r="L252" s="682"/>
      <c r="M252" s="682"/>
      <c r="N252" s="682"/>
      <c r="O252" s="682"/>
      <c r="P252" s="682"/>
      <c r="Q252" s="682"/>
      <c r="R252" s="682"/>
      <c r="S252" s="682"/>
      <c r="T252" s="682"/>
      <c r="U252" s="682"/>
      <c r="V252" s="682"/>
      <c r="W252" s="682"/>
      <c r="X252" s="682"/>
      <c r="Y252" s="682"/>
      <c r="Z252" s="682"/>
      <c r="AA252" s="682"/>
      <c r="AB252" s="682"/>
      <c r="AC252" s="682"/>
      <c r="AD252" s="682"/>
      <c r="AE252" s="682"/>
    </row>
    <row r="253" ht="14.25" customHeight="1">
      <c r="A253" s="729"/>
      <c r="B253" s="717"/>
      <c r="E253" s="390"/>
      <c r="F253" s="390"/>
      <c r="G253" s="390"/>
      <c r="H253" s="390"/>
      <c r="I253" s="390"/>
      <c r="K253" s="390"/>
    </row>
    <row r="254" ht="14.25" customHeight="1">
      <c r="A254" s="702"/>
      <c r="B254" s="717"/>
      <c r="K254" s="390"/>
    </row>
    <row r="255" ht="14.25" customHeight="1">
      <c r="A255" s="702"/>
      <c r="B255" s="717"/>
      <c r="H255" s="304"/>
      <c r="I255" s="304" t="s">
        <v>249</v>
      </c>
      <c r="K255" s="390"/>
    </row>
    <row r="256" ht="14.25" customHeight="1">
      <c r="A256" s="727" t="s">
        <v>421</v>
      </c>
      <c r="B256" s="734">
        <v>44223.0</v>
      </c>
      <c r="C256" s="725" t="s">
        <v>422</v>
      </c>
      <c r="D256" s="682" t="s">
        <v>373</v>
      </c>
      <c r="E256" s="682"/>
      <c r="F256" s="560" t="s">
        <v>423</v>
      </c>
      <c r="G256" s="560" t="s">
        <v>412</v>
      </c>
      <c r="H256" s="560"/>
      <c r="I256" s="560" t="s">
        <v>22</v>
      </c>
      <c r="J256" s="560" t="s">
        <v>424</v>
      </c>
      <c r="K256" s="560" t="s">
        <v>425</v>
      </c>
      <c r="L256" s="682"/>
      <c r="M256" s="682"/>
      <c r="N256" s="682"/>
      <c r="O256" s="682"/>
      <c r="P256" s="682"/>
      <c r="Q256" s="682"/>
      <c r="R256" s="682"/>
      <c r="S256" s="682"/>
      <c r="T256" s="682"/>
      <c r="U256" s="682"/>
      <c r="V256" s="682"/>
      <c r="W256" s="682"/>
      <c r="X256" s="682"/>
      <c r="Y256" s="682"/>
      <c r="Z256" s="682"/>
      <c r="AA256" s="682"/>
      <c r="AB256" s="682"/>
      <c r="AC256" s="682"/>
      <c r="AD256" s="682"/>
      <c r="AE256" s="682"/>
    </row>
    <row r="257" ht="14.25" customHeight="1">
      <c r="A257" s="702"/>
      <c r="B257" s="717"/>
      <c r="J257" s="390" t="s">
        <v>426</v>
      </c>
    </row>
    <row r="258" ht="14.25" customHeight="1">
      <c r="A258" s="702"/>
      <c r="B258" s="717"/>
    </row>
    <row r="259" ht="14.25" customHeight="1">
      <c r="A259" s="702"/>
      <c r="B259" s="717"/>
    </row>
    <row r="260" ht="14.25" customHeight="1">
      <c r="A260" s="727" t="s">
        <v>427</v>
      </c>
      <c r="B260" s="734">
        <v>44229.0</v>
      </c>
      <c r="C260" s="725" t="s">
        <v>428</v>
      </c>
      <c r="D260" s="560" t="s">
        <v>40</v>
      </c>
      <c r="E260" s="693" t="s">
        <v>2894</v>
      </c>
      <c r="F260" s="560" t="s">
        <v>430</v>
      </c>
      <c r="G260" s="654" t="s">
        <v>242</v>
      </c>
      <c r="H260" s="560"/>
      <c r="I260" s="560" t="s">
        <v>22</v>
      </c>
      <c r="J260" s="682"/>
      <c r="K260" s="560" t="s">
        <v>425</v>
      </c>
      <c r="L260" s="560" t="s">
        <v>431</v>
      </c>
      <c r="M260" s="682"/>
      <c r="N260" s="682"/>
      <c r="O260" s="560" t="s">
        <v>29</v>
      </c>
      <c r="P260" s="682"/>
      <c r="Q260" s="682"/>
      <c r="R260" s="682"/>
      <c r="S260" s="682"/>
    </row>
    <row r="261" ht="14.25" customHeight="1">
      <c r="A261" s="702"/>
      <c r="B261" s="717"/>
    </row>
    <row r="262" ht="14.25" customHeight="1">
      <c r="A262" s="702"/>
      <c r="B262" s="717"/>
    </row>
    <row r="263" ht="14.25" customHeight="1">
      <c r="A263" s="702"/>
      <c r="B263" s="717"/>
    </row>
    <row r="264" ht="14.25" customHeight="1">
      <c r="A264" s="727" t="s">
        <v>432</v>
      </c>
      <c r="B264" s="734">
        <v>44232.0</v>
      </c>
      <c r="C264" s="725" t="s">
        <v>433</v>
      </c>
      <c r="D264" s="560" t="s">
        <v>373</v>
      </c>
      <c r="E264" s="560"/>
      <c r="F264" s="560" t="s">
        <v>434</v>
      </c>
      <c r="G264" s="560" t="s">
        <v>435</v>
      </c>
      <c r="H264" s="560"/>
      <c r="I264" s="560" t="s">
        <v>22</v>
      </c>
      <c r="J264" s="682"/>
      <c r="K264" s="682"/>
      <c r="L264" s="682"/>
      <c r="M264" s="682"/>
      <c r="N264" s="682"/>
      <c r="O264" s="682"/>
      <c r="P264" s="682"/>
    </row>
    <row r="265" ht="14.25" customHeight="1">
      <c r="A265" s="702"/>
      <c r="B265" s="717"/>
    </row>
    <row r="266" ht="14.25" customHeight="1">
      <c r="A266" s="702"/>
      <c r="B266" s="717"/>
    </row>
    <row r="267" ht="14.25" customHeight="1">
      <c r="A267" s="727" t="s">
        <v>436</v>
      </c>
      <c r="B267" s="734">
        <v>44237.0</v>
      </c>
      <c r="C267" s="725" t="s">
        <v>437</v>
      </c>
      <c r="D267" s="560" t="s">
        <v>406</v>
      </c>
      <c r="E267" s="560"/>
      <c r="F267" s="560" t="s">
        <v>74</v>
      </c>
      <c r="G267" s="560" t="s">
        <v>412</v>
      </c>
      <c r="H267" s="560"/>
      <c r="I267" s="560" t="s">
        <v>22</v>
      </c>
      <c r="J267" s="560"/>
      <c r="K267" s="560" t="s">
        <v>438</v>
      </c>
      <c r="L267" s="682"/>
      <c r="M267" s="682"/>
      <c r="N267" s="682"/>
      <c r="O267" s="682"/>
      <c r="P267" s="682"/>
    </row>
    <row r="268" ht="14.25" customHeight="1">
      <c r="A268" s="702"/>
      <c r="B268" s="717"/>
    </row>
    <row r="269" ht="14.25" customHeight="1">
      <c r="A269" s="702"/>
      <c r="B269" s="717"/>
    </row>
    <row r="270" ht="14.25" customHeight="1">
      <c r="A270" s="702"/>
      <c r="B270" s="717"/>
    </row>
    <row r="271" ht="14.25" customHeight="1">
      <c r="A271" s="702"/>
      <c r="B271" s="717"/>
    </row>
    <row r="272" ht="14.25" customHeight="1">
      <c r="A272" s="727" t="s">
        <v>439</v>
      </c>
      <c r="B272" s="734">
        <v>44238.0</v>
      </c>
      <c r="C272" s="725" t="s">
        <v>440</v>
      </c>
      <c r="D272" s="560" t="s">
        <v>40</v>
      </c>
      <c r="E272" s="560">
        <v>11295.0</v>
      </c>
      <c r="F272" s="560" t="s">
        <v>74</v>
      </c>
      <c r="G272" s="560" t="s">
        <v>412</v>
      </c>
      <c r="H272" s="560"/>
      <c r="I272" s="560" t="s">
        <v>225</v>
      </c>
      <c r="J272" s="560" t="s">
        <v>442</v>
      </c>
      <c r="K272" s="560" t="s">
        <v>2895</v>
      </c>
      <c r="L272" s="560" t="s">
        <v>431</v>
      </c>
      <c r="M272" s="682"/>
      <c r="N272" s="682"/>
      <c r="O272" s="560" t="s">
        <v>29</v>
      </c>
      <c r="P272" s="560"/>
    </row>
    <row r="273" ht="14.25" customHeight="1">
      <c r="A273" s="702"/>
      <c r="B273" s="717"/>
      <c r="D273" s="390"/>
      <c r="E273" s="390"/>
      <c r="J273" s="390"/>
      <c r="L273" s="390"/>
    </row>
    <row r="274" ht="14.25" customHeight="1">
      <c r="A274" s="702"/>
      <c r="D274" s="390"/>
      <c r="E274" s="390"/>
      <c r="J274" s="390"/>
      <c r="L274" s="390"/>
    </row>
    <row r="275" ht="14.25" customHeight="1">
      <c r="A275" s="702"/>
      <c r="D275" s="390"/>
      <c r="E275" s="390"/>
      <c r="J275" s="390"/>
      <c r="L275" s="390"/>
    </row>
    <row r="276" ht="14.25" customHeight="1">
      <c r="A276" s="727" t="s">
        <v>444</v>
      </c>
      <c r="B276" s="734">
        <v>44238.0</v>
      </c>
      <c r="C276" s="725" t="s">
        <v>440</v>
      </c>
      <c r="D276" s="560" t="s">
        <v>40</v>
      </c>
      <c r="E276" s="560">
        <v>13040.0</v>
      </c>
      <c r="F276" s="560" t="s">
        <v>74</v>
      </c>
      <c r="G276" s="560" t="s">
        <v>412</v>
      </c>
      <c r="H276" s="560"/>
      <c r="I276" s="560" t="s">
        <v>225</v>
      </c>
      <c r="J276" s="560" t="s">
        <v>442</v>
      </c>
      <c r="K276" s="560" t="s">
        <v>2896</v>
      </c>
      <c r="L276" s="560" t="s">
        <v>431</v>
      </c>
      <c r="M276" s="682"/>
      <c r="N276" s="682"/>
      <c r="O276" s="560" t="s">
        <v>29</v>
      </c>
      <c r="P276" s="682"/>
    </row>
    <row r="277" ht="14.25" customHeight="1">
      <c r="A277" s="702"/>
      <c r="B277" s="717"/>
      <c r="K277" s="390" t="s">
        <v>2897</v>
      </c>
      <c r="O277" s="390"/>
    </row>
    <row r="278" ht="14.25" customHeight="1">
      <c r="A278" s="702"/>
      <c r="B278" s="717"/>
      <c r="O278" s="390"/>
    </row>
    <row r="279" ht="14.25" customHeight="1">
      <c r="A279" s="729" t="s">
        <v>249</v>
      </c>
      <c r="B279" s="717"/>
      <c r="O279" s="390"/>
    </row>
    <row r="280" ht="14.25" customHeight="1">
      <c r="A280" s="727" t="s">
        <v>448</v>
      </c>
      <c r="B280" s="734">
        <v>44243.0</v>
      </c>
      <c r="C280" s="725" t="s">
        <v>449</v>
      </c>
      <c r="D280" s="682" t="s">
        <v>373</v>
      </c>
      <c r="E280" s="560" t="s">
        <v>450</v>
      </c>
      <c r="F280" s="560" t="s">
        <v>74</v>
      </c>
      <c r="G280" s="654" t="s">
        <v>242</v>
      </c>
      <c r="H280" s="560"/>
      <c r="I280" s="560" t="s">
        <v>22</v>
      </c>
      <c r="J280" s="735" t="s">
        <v>2898</v>
      </c>
      <c r="K280" s="560" t="s">
        <v>451</v>
      </c>
      <c r="L280" s="560" t="s">
        <v>452</v>
      </c>
      <c r="M280" s="682"/>
      <c r="N280" s="682"/>
      <c r="O280" s="560" t="s">
        <v>29</v>
      </c>
      <c r="P280" s="682"/>
      <c r="Q280" s="682"/>
      <c r="R280" s="682"/>
      <c r="S280" s="682"/>
      <c r="T280" s="682"/>
      <c r="U280" s="682"/>
      <c r="V280" s="682"/>
      <c r="W280" s="682"/>
      <c r="X280" s="682"/>
      <c r="Y280" s="682"/>
      <c r="Z280" s="682"/>
      <c r="AA280" s="682"/>
      <c r="AB280" s="682"/>
      <c r="AC280" s="682"/>
      <c r="AD280" s="682"/>
      <c r="AE280" s="682"/>
    </row>
    <row r="281" ht="14.25" customHeight="1">
      <c r="A281" s="702"/>
      <c r="B281" s="313"/>
      <c r="C281" s="313"/>
      <c r="E281" s="390"/>
      <c r="F281" s="390"/>
      <c r="K281" s="390" t="s">
        <v>453</v>
      </c>
    </row>
    <row r="282" ht="14.25" customHeight="1">
      <c r="A282" s="702"/>
      <c r="B282" s="313"/>
      <c r="C282" s="313"/>
      <c r="E282" s="390"/>
      <c r="F282" s="390"/>
      <c r="K282" s="390" t="s">
        <v>454</v>
      </c>
    </row>
    <row r="283" ht="14.25" customHeight="1">
      <c r="A283" s="702"/>
      <c r="B283" s="313"/>
      <c r="C283" s="313"/>
      <c r="E283" s="390"/>
      <c r="F283" s="390"/>
    </row>
    <row r="284" ht="14.25" customHeight="1">
      <c r="A284" s="736" t="s">
        <v>455</v>
      </c>
      <c r="B284" s="734">
        <v>44243.0</v>
      </c>
      <c r="C284" s="725" t="s">
        <v>456</v>
      </c>
      <c r="D284" s="682" t="s">
        <v>373</v>
      </c>
      <c r="E284" s="560" t="s">
        <v>457</v>
      </c>
      <c r="F284" s="560" t="s">
        <v>74</v>
      </c>
      <c r="G284" s="654" t="s">
        <v>242</v>
      </c>
      <c r="H284" s="560"/>
      <c r="I284" s="560" t="s">
        <v>22</v>
      </c>
      <c r="J284" s="560" t="s">
        <v>458</v>
      </c>
      <c r="K284" s="560" t="s">
        <v>451</v>
      </c>
      <c r="L284" s="560" t="s">
        <v>452</v>
      </c>
      <c r="M284" s="682"/>
      <c r="N284" s="682"/>
      <c r="O284" s="560" t="s">
        <v>29</v>
      </c>
      <c r="P284" s="682"/>
      <c r="Q284" s="682"/>
      <c r="R284" s="682"/>
      <c r="S284" s="682"/>
      <c r="T284" s="682"/>
      <c r="U284" s="682"/>
      <c r="V284" s="682"/>
      <c r="W284" s="682"/>
      <c r="X284" s="682"/>
      <c r="Y284" s="682"/>
      <c r="Z284" s="682"/>
      <c r="AA284" s="682"/>
      <c r="AB284" s="682"/>
      <c r="AC284" s="682"/>
      <c r="AD284" s="682"/>
      <c r="AE284" s="682"/>
    </row>
    <row r="285" ht="14.25" customHeight="1">
      <c r="A285" s="702"/>
      <c r="B285" s="717"/>
      <c r="K285" s="390" t="s">
        <v>2899</v>
      </c>
    </row>
    <row r="286" ht="14.25" customHeight="1">
      <c r="A286" s="702"/>
      <c r="B286" s="717"/>
      <c r="K286" s="390" t="s">
        <v>2900</v>
      </c>
    </row>
    <row r="287" ht="14.25" customHeight="1">
      <c r="A287" s="702"/>
      <c r="B287" s="717"/>
    </row>
    <row r="288" ht="14.25" customHeight="1">
      <c r="A288" s="727" t="s">
        <v>461</v>
      </c>
      <c r="B288" s="734">
        <v>44244.0</v>
      </c>
      <c r="C288" s="725" t="s">
        <v>462</v>
      </c>
      <c r="D288" s="560" t="s">
        <v>406</v>
      </c>
      <c r="E288" s="560" t="s">
        <v>463</v>
      </c>
      <c r="F288" s="560" t="s">
        <v>74</v>
      </c>
      <c r="G288" s="654" t="s">
        <v>242</v>
      </c>
      <c r="H288" s="560"/>
      <c r="I288" s="560" t="s">
        <v>22</v>
      </c>
      <c r="J288" s="560" t="s">
        <v>458</v>
      </c>
      <c r="K288" s="560" t="s">
        <v>438</v>
      </c>
      <c r="L288" s="682"/>
      <c r="M288" s="682"/>
      <c r="N288" s="682"/>
      <c r="O288" s="682"/>
      <c r="P288" s="682"/>
      <c r="Q288" s="682"/>
      <c r="R288" s="682"/>
      <c r="S288" s="682"/>
      <c r="T288" s="682"/>
      <c r="U288" s="682"/>
      <c r="V288" s="682"/>
      <c r="W288" s="682"/>
      <c r="X288" s="682"/>
      <c r="Y288" s="682"/>
      <c r="Z288" s="682"/>
      <c r="AA288" s="682"/>
      <c r="AB288" s="682"/>
      <c r="AC288" s="682"/>
      <c r="AD288" s="682"/>
      <c r="AE288" s="682"/>
    </row>
    <row r="289" ht="14.25" customHeight="1">
      <c r="A289" s="702"/>
    </row>
    <row r="290" ht="14.25" customHeight="1">
      <c r="A290" s="702"/>
    </row>
    <row r="291" ht="14.25" customHeight="1">
      <c r="A291" s="727" t="s">
        <v>465</v>
      </c>
      <c r="B291" s="734">
        <v>44251.0</v>
      </c>
      <c r="C291" s="725" t="s">
        <v>466</v>
      </c>
      <c r="D291" s="560" t="s">
        <v>406</v>
      </c>
      <c r="E291" s="560" t="s">
        <v>467</v>
      </c>
      <c r="F291" s="560" t="s">
        <v>74</v>
      </c>
      <c r="G291" s="682"/>
      <c r="H291" s="560"/>
      <c r="I291" s="560" t="s">
        <v>225</v>
      </c>
      <c r="J291" s="682" t="s">
        <v>468</v>
      </c>
      <c r="K291" s="560" t="s">
        <v>469</v>
      </c>
      <c r="L291" s="682"/>
      <c r="M291" s="682"/>
      <c r="N291" s="682"/>
      <c r="O291" s="682"/>
      <c r="P291" s="682"/>
      <c r="Q291" s="682"/>
      <c r="R291" s="682"/>
      <c r="S291" s="682"/>
      <c r="T291" s="682"/>
      <c r="U291" s="682"/>
      <c r="V291" s="682"/>
      <c r="W291" s="682"/>
      <c r="X291" s="682"/>
      <c r="Y291" s="682"/>
      <c r="Z291" s="682"/>
      <c r="AA291" s="682"/>
      <c r="AB291" s="682"/>
      <c r="AC291" s="682"/>
      <c r="AD291" s="682"/>
      <c r="AE291" s="682"/>
    </row>
    <row r="292" ht="14.25" customHeight="1">
      <c r="A292" s="702"/>
      <c r="H292" s="390"/>
      <c r="I292" s="390"/>
      <c r="K292" s="390" t="s">
        <v>414</v>
      </c>
    </row>
    <row r="293" ht="14.25" customHeight="1">
      <c r="A293" s="702"/>
      <c r="H293" s="390"/>
      <c r="I293" s="390"/>
    </row>
    <row r="294" ht="14.25" customHeight="1">
      <c r="A294" s="727" t="s">
        <v>470</v>
      </c>
      <c r="B294" s="734">
        <v>44251.0</v>
      </c>
      <c r="C294" s="725" t="s">
        <v>471</v>
      </c>
      <c r="D294" s="560" t="s">
        <v>406</v>
      </c>
      <c r="E294" s="560" t="s">
        <v>472</v>
      </c>
      <c r="F294" s="682"/>
      <c r="G294" s="682"/>
      <c r="H294" s="560"/>
      <c r="I294" s="560" t="s">
        <v>225</v>
      </c>
      <c r="J294" s="682"/>
      <c r="K294" s="682"/>
      <c r="L294" s="682"/>
      <c r="M294" s="682"/>
      <c r="N294" s="682"/>
      <c r="O294" s="682"/>
      <c r="P294" s="682"/>
      <c r="Q294" s="682"/>
      <c r="R294" s="682"/>
      <c r="S294" s="682"/>
      <c r="T294" s="682"/>
      <c r="U294" s="682"/>
      <c r="V294" s="682"/>
      <c r="W294" s="682"/>
      <c r="X294" s="682"/>
      <c r="Y294" s="682"/>
      <c r="Z294" s="682"/>
      <c r="AA294" s="682"/>
      <c r="AB294" s="682"/>
      <c r="AC294" s="682"/>
      <c r="AD294" s="682"/>
      <c r="AE294" s="682"/>
    </row>
    <row r="295" ht="14.25" customHeight="1">
      <c r="A295" s="702"/>
    </row>
    <row r="296" ht="14.25" customHeight="1">
      <c r="A296" s="702"/>
    </row>
    <row r="297" ht="14.25" customHeight="1">
      <c r="A297" s="702"/>
    </row>
    <row r="298" ht="16.5" customHeight="1">
      <c r="A298" s="727" t="s">
        <v>473</v>
      </c>
      <c r="B298" s="734">
        <v>44252.0</v>
      </c>
      <c r="C298" s="677" t="s">
        <v>51</v>
      </c>
      <c r="D298" s="560" t="s">
        <v>474</v>
      </c>
      <c r="E298" s="560" t="s">
        <v>475</v>
      </c>
      <c r="F298" s="560" t="s">
        <v>476</v>
      </c>
      <c r="G298" s="654" t="s">
        <v>242</v>
      </c>
      <c r="H298" s="560"/>
      <c r="I298" s="560" t="s">
        <v>22</v>
      </c>
      <c r="J298" s="682"/>
      <c r="K298" s="560" t="s">
        <v>477</v>
      </c>
      <c r="L298" s="682"/>
      <c r="M298" s="682"/>
      <c r="N298" s="682"/>
      <c r="O298" s="682"/>
      <c r="P298" s="682"/>
      <c r="Q298" s="682"/>
      <c r="R298" s="682"/>
      <c r="S298" s="682"/>
      <c r="T298" s="682"/>
      <c r="U298" s="682"/>
      <c r="V298" s="682"/>
      <c r="W298" s="682"/>
      <c r="X298" s="682"/>
      <c r="Y298" s="682"/>
      <c r="Z298" s="682"/>
      <c r="AA298" s="682"/>
      <c r="AB298" s="682"/>
      <c r="AC298" s="682"/>
      <c r="AD298" s="682"/>
      <c r="AE298" s="682"/>
    </row>
    <row r="299" ht="14.25" customHeight="1">
      <c r="A299" s="702"/>
      <c r="K299" s="390" t="s">
        <v>478</v>
      </c>
    </row>
    <row r="300" ht="14.25" customHeight="1">
      <c r="A300" s="702"/>
      <c r="K300" s="390"/>
    </row>
    <row r="301" ht="14.25" customHeight="1">
      <c r="A301" s="729"/>
      <c r="B301" s="731"/>
      <c r="E301" s="390"/>
      <c r="F301" s="390"/>
      <c r="K301" s="390"/>
    </row>
    <row r="302" ht="14.25" customHeight="1">
      <c r="A302" s="727" t="s">
        <v>479</v>
      </c>
      <c r="B302" s="734">
        <v>44260.0</v>
      </c>
      <c r="C302" s="725" t="s">
        <v>480</v>
      </c>
      <c r="D302" s="560" t="s">
        <v>40</v>
      </c>
      <c r="E302" s="560">
        <v>12876.0</v>
      </c>
      <c r="F302" s="560" t="s">
        <v>481</v>
      </c>
      <c r="G302" s="682"/>
      <c r="H302" s="682"/>
      <c r="I302" s="682"/>
      <c r="J302" s="682"/>
      <c r="K302" s="560"/>
      <c r="L302" s="682"/>
      <c r="M302" s="682"/>
      <c r="N302" s="682"/>
      <c r="O302" s="682"/>
      <c r="P302" s="682"/>
      <c r="Q302" s="682"/>
      <c r="R302" s="682"/>
      <c r="S302" s="682"/>
      <c r="T302" s="682"/>
      <c r="U302" s="682"/>
      <c r="V302" s="682"/>
      <c r="W302" s="682"/>
      <c r="X302" s="682"/>
      <c r="Y302" s="682"/>
      <c r="Z302" s="682"/>
      <c r="AA302" s="682"/>
      <c r="AB302" s="682"/>
      <c r="AC302" s="682"/>
      <c r="AD302" s="682"/>
      <c r="AE302" s="682"/>
    </row>
    <row r="303" ht="14.25" customHeight="1">
      <c r="A303" s="729"/>
      <c r="B303" s="731"/>
      <c r="C303" s="313"/>
      <c r="D303" s="390"/>
      <c r="E303" s="390"/>
      <c r="F303" s="390"/>
    </row>
    <row r="304" ht="14.25" customHeight="1">
      <c r="A304" s="702"/>
      <c r="C304" s="313"/>
      <c r="D304" s="390"/>
      <c r="E304" s="390"/>
      <c r="F304" s="390"/>
    </row>
    <row r="305" ht="14.25" customHeight="1">
      <c r="A305" s="727" t="s">
        <v>482</v>
      </c>
      <c r="B305" s="734">
        <v>44260.0</v>
      </c>
      <c r="C305" s="725" t="s">
        <v>480</v>
      </c>
      <c r="D305" s="560" t="s">
        <v>40</v>
      </c>
      <c r="E305" s="560">
        <v>11268.0</v>
      </c>
      <c r="F305" s="560" t="s">
        <v>483</v>
      </c>
      <c r="G305" s="654" t="s">
        <v>242</v>
      </c>
      <c r="H305" s="560"/>
      <c r="I305" s="560" t="s">
        <v>22</v>
      </c>
      <c r="J305" s="560" t="s">
        <v>484</v>
      </c>
      <c r="K305" s="560" t="s">
        <v>485</v>
      </c>
      <c r="L305" s="560" t="s">
        <v>486</v>
      </c>
      <c r="M305" s="682"/>
      <c r="N305" s="682"/>
      <c r="O305" s="682"/>
      <c r="P305" s="682"/>
      <c r="Q305" s="682"/>
      <c r="R305" s="682"/>
      <c r="S305" s="682"/>
      <c r="T305" s="682"/>
      <c r="U305" s="682"/>
      <c r="V305" s="682"/>
      <c r="W305" s="682"/>
      <c r="X305" s="682"/>
      <c r="Y305" s="682"/>
      <c r="Z305" s="682"/>
      <c r="AA305" s="682"/>
      <c r="AB305" s="682"/>
      <c r="AC305" s="682"/>
      <c r="AD305" s="682"/>
      <c r="AE305" s="682"/>
    </row>
    <row r="306" ht="14.25" customHeight="1">
      <c r="A306" s="702" t="s">
        <v>249</v>
      </c>
      <c r="K306" s="390" t="s">
        <v>318</v>
      </c>
    </row>
    <row r="307" ht="14.25" customHeight="1">
      <c r="A307" s="702"/>
      <c r="K307" s="390" t="s">
        <v>487</v>
      </c>
    </row>
    <row r="308" ht="14.25" customHeight="1">
      <c r="A308" s="702"/>
      <c r="K308" s="390" t="s">
        <v>488</v>
      </c>
    </row>
    <row r="309" ht="14.25" customHeight="1">
      <c r="A309" s="727" t="s">
        <v>489</v>
      </c>
      <c r="B309" s="734">
        <v>44264.0</v>
      </c>
      <c r="C309" s="725" t="s">
        <v>409</v>
      </c>
      <c r="D309" s="560" t="s">
        <v>406</v>
      </c>
      <c r="E309" s="560" t="s">
        <v>490</v>
      </c>
      <c r="F309" s="560" t="s">
        <v>491</v>
      </c>
      <c r="G309" s="654" t="s">
        <v>242</v>
      </c>
      <c r="H309" s="682"/>
      <c r="I309" s="682"/>
      <c r="J309" s="682"/>
      <c r="K309" s="682"/>
      <c r="L309" s="682"/>
      <c r="M309" s="682"/>
      <c r="N309" s="682"/>
      <c r="O309" s="682"/>
      <c r="P309" s="682"/>
      <c r="Q309" s="682"/>
      <c r="R309" s="682"/>
      <c r="S309" s="682"/>
      <c r="T309" s="682"/>
      <c r="U309" s="682"/>
      <c r="V309" s="682"/>
      <c r="W309" s="682"/>
      <c r="X309" s="682"/>
      <c r="Y309" s="682"/>
      <c r="Z309" s="682"/>
      <c r="AA309" s="682"/>
      <c r="AB309" s="682"/>
      <c r="AC309" s="682"/>
      <c r="AD309" s="682"/>
      <c r="AE309" s="682"/>
    </row>
    <row r="310" ht="14.25" customHeight="1">
      <c r="A310" s="729"/>
      <c r="B310" s="313"/>
      <c r="C310" s="313"/>
    </row>
    <row r="311" ht="14.25" customHeight="1">
      <c r="A311" s="729"/>
      <c r="B311" s="313"/>
      <c r="C311" s="313"/>
    </row>
    <row r="312" ht="14.25" customHeight="1">
      <c r="A312" s="729"/>
      <c r="B312" s="313"/>
      <c r="C312" s="313"/>
    </row>
    <row r="313" ht="14.25" customHeight="1">
      <c r="A313" s="727" t="s">
        <v>492</v>
      </c>
      <c r="B313" s="734">
        <v>44264.0</v>
      </c>
      <c r="C313" s="725" t="s">
        <v>493</v>
      </c>
      <c r="D313" s="560" t="s">
        <v>406</v>
      </c>
      <c r="E313" s="560" t="s">
        <v>494</v>
      </c>
      <c r="F313" s="560" t="s">
        <v>491</v>
      </c>
      <c r="G313" s="654" t="s">
        <v>495</v>
      </c>
      <c r="H313" s="682"/>
      <c r="I313" s="682"/>
      <c r="J313" s="682"/>
      <c r="K313" s="682"/>
      <c r="L313" s="682"/>
      <c r="M313" s="682"/>
      <c r="N313" s="682"/>
      <c r="O313" s="682"/>
      <c r="P313" s="682"/>
      <c r="Q313" s="682"/>
      <c r="R313" s="682"/>
      <c r="S313" s="682"/>
      <c r="T313" s="682"/>
      <c r="U313" s="682"/>
      <c r="V313" s="682"/>
      <c r="W313" s="682"/>
      <c r="X313" s="682"/>
      <c r="Y313" s="682"/>
      <c r="Z313" s="682"/>
      <c r="AA313" s="682"/>
      <c r="AB313" s="682"/>
      <c r="AC313" s="682"/>
      <c r="AD313" s="682"/>
      <c r="AE313" s="682"/>
    </row>
    <row r="314" ht="14.25" customHeight="1">
      <c r="A314" s="729"/>
      <c r="B314" s="313"/>
      <c r="C314" s="313"/>
    </row>
    <row r="315" ht="14.25" customHeight="1">
      <c r="A315" s="729"/>
      <c r="B315" s="313"/>
      <c r="C315" s="313"/>
    </row>
    <row r="316" ht="14.25" customHeight="1">
      <c r="A316" s="729"/>
      <c r="B316" s="313"/>
      <c r="C316" s="313"/>
    </row>
    <row r="317" ht="14.25" customHeight="1">
      <c r="A317" s="727" t="s">
        <v>496</v>
      </c>
      <c r="B317" s="734">
        <v>44264.0</v>
      </c>
      <c r="C317" s="725" t="s">
        <v>497</v>
      </c>
      <c r="D317" s="560" t="s">
        <v>406</v>
      </c>
      <c r="E317" s="560" t="s">
        <v>498</v>
      </c>
      <c r="F317" s="560" t="s">
        <v>491</v>
      </c>
      <c r="G317" s="654" t="s">
        <v>495</v>
      </c>
      <c r="H317" s="682"/>
      <c r="I317" s="682"/>
      <c r="J317" s="682"/>
      <c r="K317" s="682"/>
      <c r="L317" s="682"/>
      <c r="M317" s="682"/>
      <c r="N317" s="682"/>
      <c r="O317" s="682"/>
      <c r="P317" s="682"/>
      <c r="Q317" s="682"/>
      <c r="R317" s="682"/>
      <c r="S317" s="682"/>
      <c r="T317" s="682"/>
      <c r="U317" s="682"/>
      <c r="V317" s="682"/>
      <c r="W317" s="682"/>
      <c r="X317" s="682"/>
      <c r="Y317" s="682"/>
      <c r="Z317" s="682"/>
      <c r="AA317" s="682"/>
      <c r="AB317" s="682"/>
      <c r="AC317" s="682"/>
      <c r="AD317" s="682"/>
      <c r="AE317" s="682"/>
    </row>
    <row r="318" ht="14.25" customHeight="1">
      <c r="A318" s="729"/>
      <c r="B318" s="313"/>
      <c r="C318" s="313"/>
    </row>
    <row r="319" ht="14.25" customHeight="1">
      <c r="A319" s="702"/>
      <c r="C319" s="313"/>
    </row>
    <row r="320" ht="14.25" customHeight="1">
      <c r="A320" s="702"/>
      <c r="C320" s="313"/>
    </row>
    <row r="321" ht="14.25" customHeight="1">
      <c r="A321" s="727" t="s">
        <v>499</v>
      </c>
      <c r="B321" s="734">
        <v>44264.0</v>
      </c>
      <c r="C321" s="725" t="s">
        <v>2477</v>
      </c>
      <c r="D321" s="560" t="s">
        <v>406</v>
      </c>
      <c r="E321" s="737" t="s">
        <v>501</v>
      </c>
      <c r="F321" s="560" t="s">
        <v>491</v>
      </c>
      <c r="G321" s="682"/>
      <c r="H321" s="682"/>
      <c r="I321" s="682"/>
      <c r="J321" s="682"/>
      <c r="K321" s="560" t="s">
        <v>502</v>
      </c>
      <c r="L321" s="682"/>
      <c r="M321" s="682"/>
      <c r="N321" s="682"/>
      <c r="O321" s="682"/>
      <c r="P321" s="682"/>
      <c r="Q321" s="682"/>
      <c r="R321" s="682"/>
      <c r="S321" s="682"/>
      <c r="T321" s="682"/>
      <c r="U321" s="682"/>
      <c r="V321" s="682"/>
      <c r="W321" s="682"/>
      <c r="X321" s="682"/>
      <c r="Y321" s="682"/>
      <c r="Z321" s="682"/>
      <c r="AA321" s="682"/>
      <c r="AB321" s="682"/>
      <c r="AC321" s="682"/>
      <c r="AD321" s="682"/>
      <c r="AE321" s="682"/>
    </row>
    <row r="322" ht="14.25" customHeight="1">
      <c r="A322" s="702"/>
    </row>
    <row r="323" ht="14.25" customHeight="1">
      <c r="A323" s="702"/>
    </row>
    <row r="324" ht="14.25" customHeight="1">
      <c r="A324" s="727" t="s">
        <v>503</v>
      </c>
      <c r="B324" s="734">
        <v>44271.0</v>
      </c>
      <c r="C324" s="725" t="s">
        <v>504</v>
      </c>
      <c r="D324" s="560" t="s">
        <v>406</v>
      </c>
      <c r="E324" s="560" t="s">
        <v>505</v>
      </c>
      <c r="F324" s="560" t="s">
        <v>491</v>
      </c>
      <c r="G324" s="654" t="s">
        <v>242</v>
      </c>
      <c r="H324" s="560"/>
      <c r="I324" s="560"/>
      <c r="J324" s="560" t="s">
        <v>506</v>
      </c>
      <c r="K324" s="560" t="s">
        <v>507</v>
      </c>
      <c r="L324" s="560"/>
      <c r="M324" s="560"/>
      <c r="N324" s="560"/>
      <c r="O324" s="560"/>
      <c r="P324" s="560"/>
      <c r="Q324" s="560"/>
      <c r="R324" s="560"/>
      <c r="S324" s="560"/>
      <c r="T324" s="560"/>
      <c r="U324" s="560"/>
      <c r="V324" s="560"/>
      <c r="W324" s="560"/>
      <c r="X324" s="560"/>
      <c r="Y324" s="560"/>
      <c r="Z324" s="560"/>
      <c r="AA324" s="560"/>
      <c r="AB324" s="560"/>
      <c r="AC324" s="560"/>
      <c r="AD324" s="560"/>
      <c r="AE324" s="560"/>
    </row>
    <row r="325" ht="14.25" customHeight="1">
      <c r="A325" s="702"/>
      <c r="K325" s="390" t="s">
        <v>508</v>
      </c>
    </row>
    <row r="326" ht="14.25" customHeight="1">
      <c r="A326" s="702"/>
      <c r="K326" s="390" t="s">
        <v>415</v>
      </c>
    </row>
    <row r="327" ht="14.25" customHeight="1">
      <c r="A327" s="702"/>
    </row>
    <row r="328" ht="14.25" customHeight="1">
      <c r="A328" s="727" t="s">
        <v>509</v>
      </c>
      <c r="B328" s="734">
        <v>44271.0</v>
      </c>
      <c r="C328" s="725" t="s">
        <v>510</v>
      </c>
      <c r="D328" s="560" t="s">
        <v>406</v>
      </c>
      <c r="E328" s="560" t="s">
        <v>511</v>
      </c>
      <c r="F328" s="560" t="s">
        <v>491</v>
      </c>
      <c r="G328" s="560" t="s">
        <v>512</v>
      </c>
      <c r="H328" s="682"/>
      <c r="I328" s="682"/>
      <c r="J328" s="682"/>
      <c r="K328" s="682"/>
      <c r="L328" s="682"/>
      <c r="M328" s="682"/>
      <c r="N328" s="682"/>
      <c r="O328" s="682"/>
      <c r="P328" s="682"/>
      <c r="Q328" s="682"/>
      <c r="R328" s="682"/>
      <c r="S328" s="682"/>
      <c r="T328" s="682"/>
      <c r="U328" s="682"/>
      <c r="V328" s="682"/>
      <c r="W328" s="682"/>
      <c r="X328" s="682"/>
      <c r="Y328" s="682"/>
      <c r="Z328" s="682"/>
      <c r="AA328" s="682"/>
      <c r="AB328" s="682"/>
      <c r="AC328" s="682"/>
      <c r="AD328" s="682"/>
      <c r="AE328" s="682"/>
    </row>
    <row r="329" ht="14.25" customHeight="1">
      <c r="A329" s="702"/>
    </row>
    <row r="330" ht="14.25" customHeight="1">
      <c r="A330" s="702"/>
    </row>
    <row r="331" ht="14.25" customHeight="1">
      <c r="A331" s="727" t="s">
        <v>513</v>
      </c>
      <c r="B331" s="734">
        <v>44273.0</v>
      </c>
      <c r="C331" s="725" t="s">
        <v>2757</v>
      </c>
      <c r="D331" s="560" t="s">
        <v>40</v>
      </c>
      <c r="E331" s="560" t="s">
        <v>515</v>
      </c>
      <c r="F331" s="682"/>
      <c r="G331" s="682"/>
      <c r="H331" s="682"/>
      <c r="I331" s="682"/>
      <c r="J331" s="560" t="s">
        <v>516</v>
      </c>
      <c r="K331" s="682" t="s">
        <v>517</v>
      </c>
      <c r="L331" s="682"/>
      <c r="M331" s="682"/>
      <c r="N331" s="682"/>
      <c r="O331" s="682"/>
      <c r="P331" s="682"/>
      <c r="Q331" s="682"/>
      <c r="R331" s="682"/>
      <c r="S331" s="682"/>
      <c r="T331" s="682"/>
      <c r="U331" s="682"/>
      <c r="V331" s="682"/>
      <c r="W331" s="682"/>
      <c r="X331" s="682"/>
      <c r="Y331" s="682"/>
      <c r="Z331" s="682"/>
      <c r="AA331" s="682"/>
      <c r="AB331" s="682"/>
      <c r="AC331" s="682"/>
      <c r="AD331" s="682"/>
      <c r="AE331" s="682"/>
    </row>
    <row r="332" ht="14.25" customHeight="1">
      <c r="A332" s="729"/>
      <c r="K332" s="304" t="s">
        <v>518</v>
      </c>
    </row>
    <row r="333" ht="14.25" customHeight="1">
      <c r="A333" s="729"/>
    </row>
    <row r="334" ht="14.25" customHeight="1">
      <c r="A334" s="727" t="s">
        <v>519</v>
      </c>
      <c r="B334" s="734">
        <v>44273.0</v>
      </c>
      <c r="C334" s="725" t="s">
        <v>520</v>
      </c>
      <c r="D334" s="560" t="s">
        <v>40</v>
      </c>
      <c r="E334" s="560" t="s">
        <v>521</v>
      </c>
      <c r="F334" s="682"/>
      <c r="G334" s="560" t="s">
        <v>522</v>
      </c>
      <c r="H334" s="682"/>
      <c r="I334" s="682"/>
      <c r="J334" s="682"/>
      <c r="K334" s="560" t="s">
        <v>523</v>
      </c>
      <c r="L334" s="682"/>
      <c r="M334" s="682"/>
      <c r="N334" s="682"/>
      <c r="O334" s="682"/>
      <c r="P334" s="682"/>
      <c r="Q334" s="682"/>
      <c r="R334" s="682"/>
      <c r="S334" s="682"/>
      <c r="T334" s="682"/>
      <c r="U334" s="682"/>
      <c r="V334" s="682"/>
      <c r="W334" s="682"/>
      <c r="X334" s="682"/>
      <c r="Y334" s="682"/>
      <c r="Z334" s="682"/>
      <c r="AA334" s="682"/>
      <c r="AB334" s="682"/>
      <c r="AC334" s="682"/>
      <c r="AD334" s="682"/>
      <c r="AE334" s="682"/>
    </row>
    <row r="335" ht="14.25" customHeight="1">
      <c r="A335" s="729"/>
    </row>
    <row r="336" ht="14.25" customHeight="1">
      <c r="A336" s="729"/>
    </row>
    <row r="337" ht="14.25" customHeight="1">
      <c r="A337" s="729"/>
    </row>
    <row r="338" ht="14.25" customHeight="1">
      <c r="A338" s="727" t="s">
        <v>524</v>
      </c>
      <c r="B338" s="734">
        <v>44273.0</v>
      </c>
      <c r="C338" s="725" t="s">
        <v>525</v>
      </c>
      <c r="D338" s="560" t="s">
        <v>40</v>
      </c>
      <c r="E338" s="560" t="s">
        <v>526</v>
      </c>
      <c r="F338" s="560" t="s">
        <v>527</v>
      </c>
      <c r="G338" s="560" t="s">
        <v>397</v>
      </c>
      <c r="H338" s="560"/>
      <c r="I338" s="560" t="s">
        <v>225</v>
      </c>
      <c r="J338" s="682"/>
      <c r="K338" s="560" t="s">
        <v>523</v>
      </c>
      <c r="L338" s="682"/>
      <c r="M338" s="682"/>
      <c r="N338" s="682"/>
      <c r="O338" s="682"/>
      <c r="P338" s="682"/>
      <c r="Q338" s="682"/>
      <c r="R338" s="682"/>
      <c r="S338" s="682"/>
      <c r="T338" s="682"/>
      <c r="U338" s="682"/>
      <c r="V338" s="682"/>
      <c r="W338" s="682"/>
      <c r="X338" s="682"/>
      <c r="Y338" s="682"/>
      <c r="Z338" s="682"/>
      <c r="AA338" s="682"/>
      <c r="AB338" s="682"/>
      <c r="AC338" s="682"/>
      <c r="AD338" s="682"/>
      <c r="AE338" s="682"/>
    </row>
    <row r="339" ht="14.25" customHeight="1">
      <c r="A339" s="729"/>
      <c r="C339" s="717"/>
      <c r="K339" s="390" t="s">
        <v>528</v>
      </c>
    </row>
    <row r="340" ht="14.25" customHeight="1">
      <c r="A340" s="729"/>
    </row>
    <row r="341" ht="14.25" customHeight="1">
      <c r="A341" s="727" t="s">
        <v>529</v>
      </c>
      <c r="B341" s="734">
        <v>44279.0</v>
      </c>
      <c r="C341" s="725" t="s">
        <v>530</v>
      </c>
      <c r="D341" s="560" t="s">
        <v>406</v>
      </c>
      <c r="E341" s="560" t="s">
        <v>531</v>
      </c>
      <c r="F341" s="560" t="s">
        <v>527</v>
      </c>
      <c r="G341" s="560" t="s">
        <v>397</v>
      </c>
      <c r="H341" s="560"/>
      <c r="I341" s="560" t="s">
        <v>22</v>
      </c>
      <c r="J341" s="560" t="s">
        <v>532</v>
      </c>
      <c r="K341" s="560" t="s">
        <v>523</v>
      </c>
      <c r="L341" s="682"/>
      <c r="M341" s="682"/>
      <c r="N341" s="682"/>
      <c r="O341" s="682"/>
      <c r="P341" s="682"/>
      <c r="Q341" s="682"/>
      <c r="R341" s="682"/>
      <c r="S341" s="682"/>
      <c r="T341" s="682"/>
      <c r="U341" s="682"/>
      <c r="V341" s="682"/>
      <c r="W341" s="682"/>
      <c r="X341" s="682"/>
      <c r="Y341" s="682"/>
      <c r="Z341" s="682"/>
      <c r="AA341" s="682"/>
      <c r="AB341" s="682"/>
      <c r="AC341" s="682"/>
      <c r="AD341" s="682"/>
      <c r="AE341" s="682"/>
    </row>
    <row r="342" ht="14.25" customHeight="1">
      <c r="A342" s="702"/>
    </row>
    <row r="343" ht="14.25" customHeight="1">
      <c r="A343" s="702"/>
    </row>
    <row r="344" ht="14.25" customHeight="1">
      <c r="A344" s="727" t="s">
        <v>533</v>
      </c>
      <c r="B344" s="734">
        <v>44279.0</v>
      </c>
      <c r="C344" s="725" t="s">
        <v>534</v>
      </c>
      <c r="D344" s="560" t="s">
        <v>406</v>
      </c>
      <c r="E344" s="560" t="s">
        <v>535</v>
      </c>
      <c r="F344" s="682"/>
      <c r="G344" s="682"/>
      <c r="H344" s="682"/>
      <c r="I344" s="682"/>
      <c r="J344" s="682"/>
      <c r="K344" s="682"/>
      <c r="L344" s="682"/>
      <c r="M344" s="682"/>
      <c r="N344" s="682"/>
      <c r="O344" s="682"/>
      <c r="P344" s="682"/>
      <c r="Q344" s="682"/>
      <c r="R344" s="682"/>
      <c r="S344" s="682"/>
      <c r="T344" s="682"/>
      <c r="U344" s="682"/>
      <c r="V344" s="682"/>
      <c r="W344" s="682"/>
      <c r="X344" s="682"/>
      <c r="Y344" s="682"/>
      <c r="Z344" s="682"/>
      <c r="AA344" s="682"/>
      <c r="AB344" s="682"/>
      <c r="AC344" s="682"/>
      <c r="AD344" s="682"/>
      <c r="AE344" s="682"/>
    </row>
    <row r="345" ht="14.25" customHeight="1">
      <c r="A345" s="729"/>
    </row>
    <row r="346" ht="14.25" customHeight="1">
      <c r="A346" s="729"/>
    </row>
    <row r="347" ht="14.25" customHeight="1">
      <c r="A347" s="727" t="s">
        <v>536</v>
      </c>
      <c r="B347" s="734">
        <v>44279.0</v>
      </c>
      <c r="C347" s="725" t="s">
        <v>537</v>
      </c>
      <c r="D347" s="560" t="s">
        <v>406</v>
      </c>
      <c r="E347" s="682"/>
      <c r="F347" s="682"/>
      <c r="G347" s="682"/>
      <c r="H347" s="682"/>
      <c r="I347" s="682"/>
      <c r="J347" s="682"/>
      <c r="K347" s="560" t="s">
        <v>523</v>
      </c>
      <c r="L347" s="682"/>
      <c r="M347" s="682"/>
      <c r="N347" s="682"/>
      <c r="O347" s="682"/>
      <c r="P347" s="682"/>
      <c r="Q347" s="682"/>
      <c r="R347" s="682"/>
      <c r="S347" s="682"/>
      <c r="T347" s="682"/>
      <c r="U347" s="682"/>
      <c r="V347" s="682"/>
      <c r="W347" s="682"/>
      <c r="X347" s="682"/>
      <c r="Y347" s="682"/>
      <c r="Z347" s="682"/>
      <c r="AA347" s="682"/>
      <c r="AB347" s="682"/>
      <c r="AC347" s="682"/>
      <c r="AD347" s="682"/>
      <c r="AE347" s="682"/>
    </row>
    <row r="348" ht="14.25" customHeight="1">
      <c r="A348" s="702"/>
    </row>
    <row r="349" ht="14.25" customHeight="1">
      <c r="A349" s="702"/>
    </row>
    <row r="350" ht="14.25" customHeight="1">
      <c r="A350" s="702"/>
    </row>
    <row r="351" ht="14.25" customHeight="1">
      <c r="A351" s="727" t="s">
        <v>538</v>
      </c>
      <c r="B351" s="734">
        <v>44299.0</v>
      </c>
      <c r="C351" s="725" t="s">
        <v>539</v>
      </c>
      <c r="D351" s="560" t="s">
        <v>406</v>
      </c>
      <c r="E351" s="560" t="s">
        <v>540</v>
      </c>
      <c r="F351" s="560" t="s">
        <v>491</v>
      </c>
      <c r="G351" s="654" t="s">
        <v>382</v>
      </c>
      <c r="H351" s="560"/>
      <c r="I351" s="560" t="s">
        <v>22</v>
      </c>
      <c r="J351" s="682"/>
      <c r="K351" s="560" t="s">
        <v>541</v>
      </c>
      <c r="L351" s="682"/>
      <c r="M351" s="682"/>
      <c r="N351" s="682"/>
      <c r="O351" s="682"/>
      <c r="P351" s="682"/>
      <c r="Q351" s="682"/>
      <c r="R351" s="682"/>
      <c r="S351" s="682"/>
      <c r="T351" s="682"/>
      <c r="U351" s="682"/>
      <c r="V351" s="682"/>
      <c r="W351" s="682"/>
      <c r="X351" s="682"/>
      <c r="Y351" s="682"/>
      <c r="Z351" s="682"/>
      <c r="AA351" s="682"/>
      <c r="AB351" s="682"/>
      <c r="AC351" s="682"/>
      <c r="AD351" s="682"/>
      <c r="AE351" s="682"/>
    </row>
    <row r="352" ht="14.25" customHeight="1">
      <c r="A352" s="729"/>
      <c r="B352" s="313"/>
      <c r="F352" s="390"/>
      <c r="G352" s="390" t="s">
        <v>542</v>
      </c>
    </row>
    <row r="353" ht="14.25" customHeight="1">
      <c r="A353" s="729"/>
      <c r="B353" s="313"/>
      <c r="F353" s="390"/>
    </row>
    <row r="354" ht="14.25" customHeight="1">
      <c r="A354" s="729"/>
      <c r="B354" s="313"/>
      <c r="F354" s="390"/>
    </row>
    <row r="355" ht="14.25" customHeight="1">
      <c r="A355" s="727" t="s">
        <v>543</v>
      </c>
      <c r="B355" s="734">
        <v>44299.0</v>
      </c>
      <c r="C355" s="725" t="s">
        <v>544</v>
      </c>
      <c r="D355" s="560" t="s">
        <v>406</v>
      </c>
      <c r="E355" s="560" t="s">
        <v>545</v>
      </c>
      <c r="F355" s="560" t="s">
        <v>491</v>
      </c>
      <c r="G355" s="654" t="s">
        <v>242</v>
      </c>
      <c r="H355" s="560"/>
      <c r="I355" s="560" t="s">
        <v>22</v>
      </c>
      <c r="J355" s="560" t="s">
        <v>546</v>
      </c>
      <c r="K355" s="560" t="s">
        <v>275</v>
      </c>
      <c r="L355" s="682"/>
      <c r="M355" s="682"/>
      <c r="N355" s="682"/>
      <c r="O355" s="682"/>
      <c r="P355" s="682"/>
      <c r="Q355" s="682"/>
      <c r="R355" s="682"/>
      <c r="S355" s="682"/>
      <c r="T355" s="682"/>
      <c r="U355" s="682"/>
      <c r="V355" s="682"/>
      <c r="W355" s="682"/>
      <c r="X355" s="682"/>
      <c r="Y355" s="682"/>
      <c r="Z355" s="682"/>
      <c r="AA355" s="682"/>
      <c r="AB355" s="682"/>
      <c r="AC355" s="682"/>
      <c r="AD355" s="682"/>
      <c r="AE355" s="682"/>
    </row>
    <row r="356" ht="14.25" customHeight="1">
      <c r="A356" s="729"/>
      <c r="B356" s="313"/>
      <c r="F356" s="390"/>
    </row>
    <row r="357" ht="14.25" customHeight="1">
      <c r="A357" s="729"/>
      <c r="B357" s="313"/>
      <c r="F357" s="390"/>
    </row>
    <row r="358" ht="14.25" customHeight="1">
      <c r="A358" s="729"/>
      <c r="B358" s="313"/>
      <c r="F358" s="390"/>
    </row>
    <row r="359" ht="14.25" customHeight="1">
      <c r="A359" s="727" t="s">
        <v>547</v>
      </c>
      <c r="B359" s="734">
        <v>44299.0</v>
      </c>
      <c r="C359" s="725" t="s">
        <v>548</v>
      </c>
      <c r="D359" s="560" t="s">
        <v>406</v>
      </c>
      <c r="E359" s="560" t="s">
        <v>549</v>
      </c>
      <c r="F359" s="560" t="s">
        <v>491</v>
      </c>
      <c r="G359" s="654" t="s">
        <v>242</v>
      </c>
      <c r="H359" s="560"/>
      <c r="I359" s="560" t="s">
        <v>22</v>
      </c>
      <c r="J359" s="560" t="s">
        <v>2901</v>
      </c>
      <c r="K359" s="560" t="s">
        <v>275</v>
      </c>
      <c r="L359" s="682"/>
      <c r="M359" s="682"/>
      <c r="N359" s="682"/>
      <c r="O359" s="682"/>
      <c r="P359" s="682"/>
      <c r="Q359" s="682"/>
      <c r="R359" s="682"/>
      <c r="S359" s="682"/>
      <c r="T359" s="682"/>
      <c r="U359" s="682"/>
      <c r="V359" s="682"/>
      <c r="W359" s="682"/>
      <c r="X359" s="682"/>
      <c r="Y359" s="682"/>
      <c r="Z359" s="682"/>
      <c r="AA359" s="682"/>
      <c r="AB359" s="682"/>
      <c r="AC359" s="682"/>
      <c r="AD359" s="682"/>
      <c r="AE359" s="682"/>
    </row>
    <row r="360" ht="14.25" customHeight="1">
      <c r="A360" s="729"/>
      <c r="B360" s="313"/>
      <c r="F360" s="390"/>
    </row>
    <row r="361" ht="14.25" customHeight="1">
      <c r="A361" s="729"/>
      <c r="B361" s="313"/>
      <c r="F361" s="390"/>
    </row>
    <row r="362" ht="14.25" customHeight="1">
      <c r="A362" s="729"/>
      <c r="B362" s="313"/>
      <c r="F362" s="390"/>
    </row>
    <row r="363" ht="14.25" customHeight="1">
      <c r="A363" s="727" t="s">
        <v>551</v>
      </c>
      <c r="B363" s="734">
        <v>44299.0</v>
      </c>
      <c r="C363" s="725" t="s">
        <v>552</v>
      </c>
      <c r="D363" s="560" t="s">
        <v>406</v>
      </c>
      <c r="E363" s="560" t="s">
        <v>553</v>
      </c>
      <c r="F363" s="560" t="s">
        <v>491</v>
      </c>
      <c r="G363" s="654" t="s">
        <v>242</v>
      </c>
      <c r="H363" s="560"/>
      <c r="I363" s="560" t="s">
        <v>22</v>
      </c>
      <c r="J363" s="560" t="s">
        <v>554</v>
      </c>
      <c r="K363" s="560" t="s">
        <v>275</v>
      </c>
      <c r="L363" s="682"/>
      <c r="M363" s="682"/>
      <c r="N363" s="682"/>
      <c r="O363" s="682"/>
      <c r="P363" s="682"/>
      <c r="Q363" s="682"/>
      <c r="R363" s="682"/>
      <c r="S363" s="682"/>
      <c r="T363" s="682"/>
      <c r="U363" s="682"/>
      <c r="V363" s="682"/>
      <c r="W363" s="682"/>
      <c r="X363" s="682"/>
      <c r="Y363" s="682"/>
      <c r="Z363" s="682"/>
      <c r="AA363" s="682"/>
      <c r="AB363" s="682"/>
      <c r="AC363" s="682"/>
      <c r="AD363" s="682"/>
      <c r="AE363" s="682"/>
    </row>
    <row r="364" ht="14.25" customHeight="1">
      <c r="A364" s="702"/>
      <c r="F364" s="390"/>
      <c r="K364" s="304" t="s">
        <v>555</v>
      </c>
    </row>
    <row r="365" ht="14.25" customHeight="1">
      <c r="A365" s="702"/>
      <c r="K365" s="304" t="s">
        <v>556</v>
      </c>
    </row>
    <row r="366" ht="14.25" customHeight="1">
      <c r="A366" s="702"/>
    </row>
    <row r="367" ht="14.25" customHeight="1">
      <c r="A367" s="727" t="s">
        <v>557</v>
      </c>
      <c r="B367" s="734">
        <v>44301.0</v>
      </c>
      <c r="C367" s="725" t="s">
        <v>514</v>
      </c>
      <c r="D367" s="560" t="s">
        <v>40</v>
      </c>
      <c r="E367" s="560" t="s">
        <v>558</v>
      </c>
      <c r="F367" s="560" t="s">
        <v>491</v>
      </c>
      <c r="G367" s="654" t="s">
        <v>382</v>
      </c>
      <c r="H367" s="560"/>
      <c r="I367" s="560" t="s">
        <v>22</v>
      </c>
      <c r="J367" s="682"/>
      <c r="K367" s="682" t="s">
        <v>559</v>
      </c>
      <c r="L367" s="682"/>
      <c r="M367" s="682"/>
      <c r="N367" s="682"/>
      <c r="O367" s="682"/>
      <c r="P367" s="682"/>
      <c r="Q367" s="682"/>
      <c r="R367" s="682"/>
      <c r="S367" s="682"/>
      <c r="T367" s="682"/>
      <c r="U367" s="682"/>
      <c r="V367" s="682"/>
      <c r="W367" s="682"/>
      <c r="X367" s="682"/>
      <c r="Y367" s="682"/>
      <c r="Z367" s="682"/>
      <c r="AA367" s="682"/>
      <c r="AB367" s="682"/>
      <c r="AC367" s="682"/>
      <c r="AD367" s="682"/>
      <c r="AE367" s="682"/>
    </row>
    <row r="368" ht="14.25" customHeight="1">
      <c r="A368" s="729"/>
      <c r="C368" s="313"/>
      <c r="K368" s="304" t="s">
        <v>560</v>
      </c>
    </row>
    <row r="369" ht="14.25" customHeight="1">
      <c r="A369" s="729"/>
      <c r="C369" s="313"/>
      <c r="K369" s="304" t="s">
        <v>415</v>
      </c>
    </row>
    <row r="370" ht="14.25" customHeight="1">
      <c r="A370" s="729"/>
      <c r="C370" s="313"/>
      <c r="K370" s="304" t="s">
        <v>518</v>
      </c>
    </row>
    <row r="371" ht="14.25" customHeight="1">
      <c r="A371" s="727" t="s">
        <v>561</v>
      </c>
      <c r="B371" s="734">
        <v>44301.0</v>
      </c>
      <c r="C371" s="725" t="s">
        <v>514</v>
      </c>
      <c r="D371" s="560" t="s">
        <v>40</v>
      </c>
      <c r="E371" s="560" t="s">
        <v>562</v>
      </c>
      <c r="F371" s="560" t="s">
        <v>491</v>
      </c>
      <c r="G371" s="654" t="s">
        <v>382</v>
      </c>
      <c r="H371" s="560"/>
      <c r="I371" s="560" t="s">
        <v>22</v>
      </c>
      <c r="J371" s="682"/>
      <c r="K371" s="682"/>
      <c r="L371" s="682"/>
      <c r="M371" s="682"/>
      <c r="N371" s="682"/>
      <c r="O371" s="682"/>
      <c r="P371" s="682"/>
      <c r="Q371" s="682"/>
      <c r="R371" s="682"/>
      <c r="S371" s="682"/>
      <c r="T371" s="682"/>
      <c r="U371" s="682"/>
      <c r="V371" s="682"/>
      <c r="W371" s="682"/>
      <c r="X371" s="682"/>
      <c r="Y371" s="682"/>
      <c r="Z371" s="682"/>
      <c r="AA371" s="682"/>
      <c r="AB371" s="682"/>
      <c r="AC371" s="682"/>
      <c r="AD371" s="682"/>
      <c r="AE371" s="682"/>
    </row>
    <row r="372" ht="14.25" customHeight="1">
      <c r="A372" s="729"/>
    </row>
    <row r="373" ht="14.25" customHeight="1">
      <c r="A373" s="729"/>
    </row>
    <row r="374" ht="14.25" customHeight="1">
      <c r="A374" s="729"/>
    </row>
    <row r="375" ht="14.25" customHeight="1">
      <c r="A375" s="727" t="s">
        <v>563</v>
      </c>
      <c r="B375" s="734">
        <v>44301.0</v>
      </c>
      <c r="C375" s="725" t="s">
        <v>564</v>
      </c>
      <c r="D375" s="560" t="s">
        <v>40</v>
      </c>
      <c r="E375" s="560">
        <v>1.7967857E7</v>
      </c>
      <c r="F375" s="560" t="s">
        <v>566</v>
      </c>
      <c r="G375" s="654" t="s">
        <v>242</v>
      </c>
      <c r="H375" s="560"/>
      <c r="I375" s="560" t="s">
        <v>22</v>
      </c>
      <c r="J375" s="560" t="s">
        <v>567</v>
      </c>
      <c r="K375" s="560" t="s">
        <v>275</v>
      </c>
      <c r="L375" s="682"/>
      <c r="M375" s="682"/>
      <c r="N375" s="682"/>
      <c r="O375" s="682"/>
      <c r="P375" s="682"/>
      <c r="Q375" s="682"/>
      <c r="R375" s="682"/>
      <c r="S375" s="682"/>
      <c r="T375" s="682"/>
      <c r="U375" s="682"/>
      <c r="V375" s="682"/>
      <c r="W375" s="682"/>
      <c r="X375" s="682"/>
      <c r="Y375" s="682"/>
      <c r="Z375" s="682"/>
      <c r="AA375" s="682"/>
      <c r="AB375" s="682"/>
      <c r="AC375" s="682"/>
      <c r="AD375" s="682"/>
      <c r="AE375" s="682"/>
    </row>
    <row r="376" ht="14.25" customHeight="1">
      <c r="A376" s="702"/>
    </row>
    <row r="377" ht="14.25" customHeight="1">
      <c r="A377" s="702"/>
    </row>
    <row r="378" ht="14.25" customHeight="1">
      <c r="A378" s="702"/>
    </row>
    <row r="379" ht="14.25" customHeight="1">
      <c r="A379" s="727" t="s">
        <v>568</v>
      </c>
      <c r="B379" s="734">
        <v>44306.0</v>
      </c>
      <c r="C379" s="725" t="s">
        <v>569</v>
      </c>
      <c r="D379" s="560" t="s">
        <v>406</v>
      </c>
      <c r="E379" s="560">
        <v>2.5402189E7</v>
      </c>
      <c r="F379" s="560" t="s">
        <v>481</v>
      </c>
      <c r="G379" s="654" t="s">
        <v>242</v>
      </c>
      <c r="H379" s="560"/>
      <c r="I379" s="560" t="s">
        <v>225</v>
      </c>
      <c r="J379" s="682"/>
      <c r="K379" s="560" t="s">
        <v>570</v>
      </c>
      <c r="L379" s="682"/>
      <c r="M379" s="682"/>
      <c r="N379" s="682"/>
      <c r="O379" s="682"/>
      <c r="P379" s="682"/>
      <c r="Q379" s="682"/>
      <c r="R379" s="682"/>
      <c r="S379" s="682"/>
      <c r="T379" s="682"/>
      <c r="U379" s="682"/>
      <c r="V379" s="682"/>
      <c r="W379" s="682"/>
      <c r="X379" s="682"/>
      <c r="Y379" s="682"/>
      <c r="Z379" s="682"/>
      <c r="AA379" s="682"/>
      <c r="AB379" s="682"/>
      <c r="AC379" s="682"/>
      <c r="AD379" s="682"/>
      <c r="AE379" s="682"/>
    </row>
    <row r="380" ht="14.25" customHeight="1">
      <c r="A380" s="729"/>
      <c r="F380" s="390"/>
      <c r="H380" s="390"/>
      <c r="I380" s="390"/>
      <c r="K380" s="304" t="s">
        <v>158</v>
      </c>
    </row>
    <row r="381" ht="14.25" customHeight="1">
      <c r="A381" s="729"/>
      <c r="F381" s="390"/>
      <c r="H381" s="390"/>
      <c r="I381" s="390"/>
    </row>
    <row r="382" ht="14.25" customHeight="1">
      <c r="A382" s="727" t="s">
        <v>571</v>
      </c>
      <c r="B382" s="734">
        <v>44306.0</v>
      </c>
      <c r="C382" s="725" t="s">
        <v>572</v>
      </c>
      <c r="D382" s="560" t="s">
        <v>406</v>
      </c>
      <c r="E382" s="560" t="s">
        <v>573</v>
      </c>
      <c r="F382" s="560" t="s">
        <v>481</v>
      </c>
      <c r="G382" s="654" t="s">
        <v>242</v>
      </c>
      <c r="H382" s="560"/>
      <c r="I382" s="560" t="s">
        <v>225</v>
      </c>
      <c r="J382" s="682"/>
      <c r="K382" s="560" t="s">
        <v>570</v>
      </c>
      <c r="L382" s="682"/>
      <c r="M382" s="682"/>
      <c r="N382" s="682"/>
      <c r="O382" s="682"/>
      <c r="P382" s="682"/>
      <c r="Q382" s="682"/>
      <c r="R382" s="682"/>
      <c r="S382" s="682"/>
      <c r="T382" s="682"/>
      <c r="U382" s="682"/>
      <c r="V382" s="682"/>
      <c r="W382" s="682"/>
      <c r="X382" s="682"/>
      <c r="Y382" s="682"/>
      <c r="Z382" s="682"/>
      <c r="AA382" s="682"/>
      <c r="AB382" s="682"/>
      <c r="AC382" s="682"/>
      <c r="AD382" s="682"/>
      <c r="AE382" s="682"/>
    </row>
    <row r="383" ht="14.25" customHeight="1">
      <c r="A383" s="729"/>
    </row>
    <row r="384" ht="14.25" customHeight="1">
      <c r="A384" s="729"/>
    </row>
    <row r="385" ht="14.25" customHeight="1">
      <c r="A385" s="727" t="s">
        <v>574</v>
      </c>
      <c r="B385" s="734">
        <v>44306.0</v>
      </c>
      <c r="C385" s="725" t="s">
        <v>575</v>
      </c>
      <c r="D385" s="560" t="s">
        <v>40</v>
      </c>
      <c r="E385" s="560" t="s">
        <v>2902</v>
      </c>
      <c r="F385" s="560" t="s">
        <v>566</v>
      </c>
      <c r="G385" s="654" t="s">
        <v>242</v>
      </c>
      <c r="H385" s="560"/>
      <c r="I385" s="560" t="s">
        <v>225</v>
      </c>
      <c r="J385" s="682"/>
      <c r="K385" s="560" t="s">
        <v>570</v>
      </c>
      <c r="L385" s="682"/>
      <c r="M385" s="682"/>
      <c r="N385" s="682"/>
      <c r="O385" s="682"/>
      <c r="P385" s="682"/>
      <c r="Q385" s="682"/>
      <c r="R385" s="682"/>
      <c r="S385" s="682"/>
      <c r="T385" s="682"/>
      <c r="U385" s="682"/>
      <c r="V385" s="682"/>
      <c r="W385" s="682"/>
      <c r="X385" s="682"/>
      <c r="Y385" s="682"/>
      <c r="Z385" s="682"/>
      <c r="AA385" s="682"/>
      <c r="AB385" s="682"/>
      <c r="AC385" s="682"/>
      <c r="AD385" s="682"/>
      <c r="AE385" s="682"/>
    </row>
    <row r="386" ht="14.25" customHeight="1">
      <c r="A386" s="729"/>
    </row>
    <row r="387" ht="14.25" customHeight="1">
      <c r="A387" s="729"/>
    </row>
    <row r="388" ht="14.25" customHeight="1">
      <c r="A388" s="729"/>
    </row>
    <row r="389" ht="14.25" customHeight="1">
      <c r="A389" s="727" t="s">
        <v>578</v>
      </c>
      <c r="B389" s="734">
        <v>44306.0</v>
      </c>
      <c r="C389" s="725" t="s">
        <v>471</v>
      </c>
      <c r="D389" s="560" t="s">
        <v>406</v>
      </c>
      <c r="E389" s="560" t="s">
        <v>579</v>
      </c>
      <c r="F389" s="560" t="s">
        <v>481</v>
      </c>
      <c r="G389" s="654" t="s">
        <v>242</v>
      </c>
      <c r="H389" s="560"/>
      <c r="I389" s="560" t="s">
        <v>580</v>
      </c>
      <c r="J389" s="682"/>
      <c r="K389" s="560" t="s">
        <v>570</v>
      </c>
      <c r="L389" s="682"/>
      <c r="M389" s="682"/>
      <c r="N389" s="682"/>
      <c r="O389" s="682"/>
      <c r="P389" s="682"/>
      <c r="Q389" s="682"/>
      <c r="R389" s="682"/>
      <c r="S389" s="682"/>
      <c r="T389" s="682"/>
      <c r="U389" s="682"/>
      <c r="V389" s="682"/>
      <c r="W389" s="682"/>
      <c r="X389" s="682"/>
      <c r="Y389" s="682"/>
      <c r="Z389" s="682"/>
      <c r="AA389" s="682"/>
      <c r="AB389" s="682"/>
      <c r="AC389" s="682"/>
      <c r="AD389" s="682"/>
      <c r="AE389" s="682"/>
    </row>
    <row r="390" ht="14.25" customHeight="1">
      <c r="A390" s="702"/>
    </row>
    <row r="391" ht="14.25" customHeight="1">
      <c r="A391" s="702"/>
    </row>
    <row r="392" ht="14.25" customHeight="1">
      <c r="A392" s="702"/>
    </row>
    <row r="393" ht="14.25" customHeight="1">
      <c r="A393" s="727" t="s">
        <v>581</v>
      </c>
      <c r="B393" s="734">
        <v>44309.0</v>
      </c>
      <c r="C393" s="725" t="s">
        <v>239</v>
      </c>
      <c r="D393" s="560" t="s">
        <v>40</v>
      </c>
      <c r="E393" s="560" t="s">
        <v>1057</v>
      </c>
      <c r="F393" s="560" t="s">
        <v>583</v>
      </c>
      <c r="G393" s="654" t="s">
        <v>242</v>
      </c>
      <c r="H393" s="560"/>
      <c r="I393" s="560" t="s">
        <v>22</v>
      </c>
      <c r="J393" s="682" t="s">
        <v>584</v>
      </c>
      <c r="K393" s="560" t="s">
        <v>327</v>
      </c>
      <c r="L393" s="682"/>
      <c r="M393" s="682"/>
      <c r="N393" s="682"/>
      <c r="O393" s="682"/>
      <c r="P393" s="682"/>
      <c r="Q393" s="682"/>
      <c r="R393" s="682"/>
      <c r="S393" s="682"/>
      <c r="T393" s="682"/>
      <c r="U393" s="682"/>
      <c r="V393" s="682"/>
      <c r="W393" s="682"/>
      <c r="X393" s="682"/>
      <c r="Y393" s="682"/>
      <c r="Z393" s="682"/>
      <c r="AA393" s="682"/>
      <c r="AB393" s="682"/>
      <c r="AC393" s="682"/>
      <c r="AD393" s="682"/>
      <c r="AE393" s="682"/>
    </row>
    <row r="394" ht="14.25" customHeight="1">
      <c r="A394" s="702"/>
      <c r="K394" s="304" t="s">
        <v>560</v>
      </c>
    </row>
    <row r="395" ht="14.25" customHeight="1">
      <c r="A395" s="702"/>
    </row>
    <row r="396" ht="14.25" customHeight="1">
      <c r="A396" s="702"/>
    </row>
    <row r="397" ht="14.25" customHeight="1">
      <c r="A397" s="727" t="s">
        <v>585</v>
      </c>
      <c r="B397" s="734">
        <v>44313.0</v>
      </c>
      <c r="C397" s="738" t="s">
        <v>586</v>
      </c>
      <c r="D397" s="560" t="s">
        <v>406</v>
      </c>
      <c r="E397" s="682"/>
      <c r="F397" s="560" t="s">
        <v>481</v>
      </c>
      <c r="G397" s="654" t="s">
        <v>242</v>
      </c>
      <c r="H397" s="560"/>
      <c r="I397" s="560" t="s">
        <v>580</v>
      </c>
      <c r="J397" s="682"/>
      <c r="K397" s="560" t="s">
        <v>570</v>
      </c>
      <c r="L397" s="682"/>
      <c r="M397" s="682"/>
      <c r="N397" s="682"/>
      <c r="O397" s="682"/>
      <c r="P397" s="682"/>
      <c r="Q397" s="682"/>
      <c r="R397" s="682"/>
      <c r="S397" s="682"/>
      <c r="T397" s="682"/>
      <c r="U397" s="682"/>
      <c r="V397" s="682"/>
      <c r="W397" s="682"/>
      <c r="X397" s="682"/>
      <c r="Y397" s="682"/>
      <c r="Z397" s="682"/>
      <c r="AA397" s="682"/>
      <c r="AB397" s="682"/>
      <c r="AC397" s="682"/>
      <c r="AD397" s="682"/>
      <c r="AE397" s="682"/>
    </row>
    <row r="398" ht="14.25" customHeight="1">
      <c r="A398" s="702"/>
    </row>
    <row r="399" ht="14.25" customHeight="1">
      <c r="A399" s="702"/>
    </row>
    <row r="400" ht="14.25" customHeight="1">
      <c r="A400" s="702"/>
    </row>
    <row r="401" ht="14.25" customHeight="1">
      <c r="A401" s="727" t="s">
        <v>587</v>
      </c>
      <c r="B401" s="734">
        <v>44313.0</v>
      </c>
      <c r="C401" s="725" t="s">
        <v>588</v>
      </c>
      <c r="D401" s="560" t="s">
        <v>406</v>
      </c>
      <c r="E401" s="560" t="s">
        <v>589</v>
      </c>
      <c r="F401" s="560" t="s">
        <v>590</v>
      </c>
      <c r="G401" s="560" t="s">
        <v>242</v>
      </c>
      <c r="H401" s="560"/>
      <c r="I401" s="560" t="s">
        <v>22</v>
      </c>
      <c r="J401" s="682"/>
      <c r="K401" s="560" t="s">
        <v>591</v>
      </c>
      <c r="L401" s="682"/>
      <c r="M401" s="682"/>
      <c r="N401" s="682"/>
      <c r="O401" s="682"/>
      <c r="P401" s="682"/>
      <c r="Q401" s="682"/>
      <c r="R401" s="682"/>
      <c r="S401" s="682"/>
      <c r="T401" s="682"/>
      <c r="U401" s="682"/>
      <c r="V401" s="682"/>
      <c r="W401" s="682"/>
      <c r="X401" s="682"/>
      <c r="Y401" s="682"/>
      <c r="Z401" s="682"/>
      <c r="AA401" s="682"/>
      <c r="AB401" s="682"/>
      <c r="AC401" s="682"/>
      <c r="AD401" s="682"/>
      <c r="AE401" s="682"/>
    </row>
    <row r="402" ht="14.25" customHeight="1">
      <c r="A402" s="702"/>
    </row>
    <row r="403" ht="14.25" customHeight="1">
      <c r="A403" s="702"/>
    </row>
    <row r="404" ht="14.25" customHeight="1">
      <c r="A404" s="702"/>
    </row>
    <row r="405" ht="14.25" customHeight="1">
      <c r="A405" s="727" t="s">
        <v>592</v>
      </c>
      <c r="B405" s="734">
        <v>44313.0</v>
      </c>
      <c r="C405" s="725" t="s">
        <v>593</v>
      </c>
      <c r="D405" s="560" t="s">
        <v>406</v>
      </c>
      <c r="E405" s="560" t="s">
        <v>594</v>
      </c>
      <c r="F405" s="560" t="s">
        <v>590</v>
      </c>
      <c r="G405" s="560" t="s">
        <v>595</v>
      </c>
      <c r="H405" s="560"/>
      <c r="I405" s="560" t="s">
        <v>22</v>
      </c>
      <c r="J405" s="682"/>
      <c r="K405" s="560" t="s">
        <v>596</v>
      </c>
      <c r="L405" s="682"/>
      <c r="M405" s="682"/>
      <c r="N405" s="682"/>
      <c r="O405" s="682"/>
      <c r="P405" s="682"/>
      <c r="Q405" s="682"/>
      <c r="R405" s="682"/>
      <c r="S405" s="682"/>
      <c r="T405" s="682"/>
      <c r="U405" s="682"/>
      <c r="V405" s="682"/>
      <c r="W405" s="682"/>
      <c r="X405" s="682"/>
      <c r="Y405" s="682"/>
      <c r="Z405" s="682"/>
      <c r="AA405" s="682"/>
      <c r="AB405" s="682"/>
      <c r="AC405" s="682"/>
      <c r="AD405" s="682"/>
      <c r="AE405" s="682"/>
    </row>
    <row r="406" ht="14.25" customHeight="1">
      <c r="A406" s="702"/>
    </row>
    <row r="407" ht="14.25" customHeight="1">
      <c r="A407" s="702"/>
    </row>
    <row r="408" ht="14.25" customHeight="1">
      <c r="A408" s="702"/>
    </row>
    <row r="409" ht="14.25" customHeight="1">
      <c r="A409" s="727" t="s">
        <v>597</v>
      </c>
      <c r="B409" s="734">
        <v>44313.0</v>
      </c>
      <c r="C409" s="725" t="s">
        <v>598</v>
      </c>
      <c r="D409" s="560" t="s">
        <v>406</v>
      </c>
      <c r="E409" s="560" t="s">
        <v>599</v>
      </c>
      <c r="F409" s="560" t="s">
        <v>590</v>
      </c>
      <c r="G409" s="560" t="s">
        <v>242</v>
      </c>
      <c r="H409" s="560"/>
      <c r="I409" s="560" t="s">
        <v>225</v>
      </c>
      <c r="J409" s="682" t="s">
        <v>600</v>
      </c>
      <c r="K409" s="560" t="s">
        <v>570</v>
      </c>
      <c r="L409" s="682"/>
      <c r="M409" s="682"/>
      <c r="N409" s="682"/>
      <c r="O409" s="682"/>
      <c r="P409" s="682"/>
      <c r="Q409" s="682"/>
      <c r="R409" s="682"/>
      <c r="S409" s="682"/>
      <c r="T409" s="682"/>
      <c r="U409" s="682"/>
      <c r="V409" s="682"/>
      <c r="W409" s="682"/>
      <c r="X409" s="682"/>
      <c r="Y409" s="682"/>
      <c r="Z409" s="682"/>
      <c r="AA409" s="682"/>
      <c r="AB409" s="682"/>
      <c r="AC409" s="682"/>
      <c r="AD409" s="682"/>
      <c r="AE409" s="682"/>
    </row>
    <row r="410" ht="14.25" customHeight="1">
      <c r="A410" s="702"/>
    </row>
    <row r="411" ht="14.25" customHeight="1">
      <c r="A411" s="702"/>
    </row>
    <row r="412" ht="14.25" customHeight="1">
      <c r="A412" s="702"/>
    </row>
    <row r="413" ht="14.25" customHeight="1">
      <c r="A413" s="727" t="s">
        <v>601</v>
      </c>
      <c r="B413" s="734">
        <v>44313.0</v>
      </c>
      <c r="C413" s="725" t="s">
        <v>602</v>
      </c>
      <c r="D413" s="560" t="s">
        <v>406</v>
      </c>
      <c r="E413" s="560" t="s">
        <v>603</v>
      </c>
      <c r="F413" s="560" t="s">
        <v>590</v>
      </c>
      <c r="G413" s="560" t="s">
        <v>242</v>
      </c>
      <c r="H413" s="560"/>
      <c r="I413" s="560" t="s">
        <v>225</v>
      </c>
      <c r="J413" s="682" t="s">
        <v>604</v>
      </c>
      <c r="K413" s="560" t="s">
        <v>570</v>
      </c>
      <c r="L413" s="682"/>
      <c r="M413" s="682"/>
      <c r="N413" s="682"/>
      <c r="O413" s="682"/>
      <c r="P413" s="682"/>
      <c r="Q413" s="682"/>
      <c r="R413" s="682"/>
      <c r="S413" s="682"/>
      <c r="T413" s="682"/>
      <c r="U413" s="682"/>
      <c r="V413" s="682"/>
      <c r="W413" s="682"/>
      <c r="X413" s="682"/>
      <c r="Y413" s="682"/>
      <c r="Z413" s="682"/>
      <c r="AA413" s="682"/>
      <c r="AB413" s="682"/>
      <c r="AC413" s="682"/>
      <c r="AD413" s="682"/>
      <c r="AE413" s="682"/>
    </row>
    <row r="414" ht="14.25" customHeight="1">
      <c r="A414" s="702"/>
    </row>
    <row r="415" ht="14.25" customHeight="1">
      <c r="A415" s="702"/>
    </row>
    <row r="416" ht="14.25" customHeight="1">
      <c r="A416" s="702"/>
    </row>
    <row r="417" ht="14.25" customHeight="1">
      <c r="A417" s="727" t="s">
        <v>605</v>
      </c>
      <c r="B417" s="734">
        <v>44315.0</v>
      </c>
      <c r="C417" s="738" t="s">
        <v>606</v>
      </c>
      <c r="D417" s="560" t="s">
        <v>607</v>
      </c>
      <c r="E417" s="560" t="s">
        <v>608</v>
      </c>
      <c r="F417" s="560" t="s">
        <v>609</v>
      </c>
      <c r="G417" s="560" t="s">
        <v>242</v>
      </c>
      <c r="H417" s="560"/>
      <c r="I417" s="560" t="s">
        <v>22</v>
      </c>
      <c r="J417" s="560" t="s">
        <v>2903</v>
      </c>
      <c r="K417" s="560" t="s">
        <v>611</v>
      </c>
      <c r="L417" s="682"/>
      <c r="M417" s="682"/>
      <c r="N417" s="682"/>
      <c r="O417" s="682"/>
      <c r="P417" s="682"/>
      <c r="Q417" s="682"/>
      <c r="R417" s="682"/>
      <c r="S417" s="682"/>
      <c r="T417" s="682"/>
      <c r="U417" s="682"/>
      <c r="V417" s="682"/>
      <c r="W417" s="682"/>
      <c r="X417" s="682"/>
      <c r="Y417" s="682"/>
      <c r="Z417" s="682"/>
      <c r="AA417" s="682"/>
      <c r="AB417" s="682"/>
      <c r="AC417" s="682"/>
      <c r="AD417" s="682"/>
      <c r="AE417" s="682"/>
    </row>
    <row r="418" ht="14.25" customHeight="1">
      <c r="A418" s="702"/>
    </row>
    <row r="419" ht="14.25" customHeight="1">
      <c r="A419" s="702"/>
    </row>
    <row r="420" ht="14.25" customHeight="1">
      <c r="A420" s="702"/>
    </row>
    <row r="421" ht="14.25" customHeight="1">
      <c r="A421" s="739" t="s">
        <v>612</v>
      </c>
      <c r="B421" s="740">
        <v>44278.0</v>
      </c>
      <c r="C421" s="739" t="s">
        <v>613</v>
      </c>
      <c r="D421" s="741" t="s">
        <v>614</v>
      </c>
      <c r="E421" s="741"/>
      <c r="F421" s="742" t="s">
        <v>516</v>
      </c>
      <c r="G421" s="741"/>
      <c r="H421" s="742"/>
      <c r="I421" s="742" t="s">
        <v>22</v>
      </c>
      <c r="J421" s="741"/>
      <c r="K421" s="741"/>
      <c r="L421" s="741"/>
      <c r="M421" s="741"/>
      <c r="N421" s="741"/>
      <c r="O421" s="741"/>
      <c r="P421" s="741"/>
      <c r="Q421" s="741"/>
      <c r="R421" s="741"/>
      <c r="S421" s="741"/>
      <c r="T421" s="741"/>
      <c r="U421" s="741"/>
      <c r="V421" s="741"/>
      <c r="W421" s="741"/>
      <c r="X421" s="741"/>
      <c r="Y421" s="741"/>
      <c r="Z421" s="741"/>
      <c r="AA421" s="741"/>
      <c r="AB421" s="741"/>
      <c r="AC421" s="741"/>
      <c r="AD421" s="741"/>
      <c r="AE421" s="741"/>
    </row>
    <row r="422" ht="14.25" customHeight="1">
      <c r="A422" s="702"/>
    </row>
    <row r="423" ht="14.25" customHeight="1">
      <c r="A423" s="702"/>
    </row>
    <row r="424" ht="14.25" customHeight="1">
      <c r="A424" s="702"/>
    </row>
    <row r="425" ht="14.25" customHeight="1">
      <c r="A425" s="727" t="s">
        <v>615</v>
      </c>
      <c r="B425" s="734">
        <v>44320.0</v>
      </c>
      <c r="C425" s="725" t="s">
        <v>616</v>
      </c>
      <c r="D425" s="560" t="s">
        <v>406</v>
      </c>
      <c r="E425" s="743" t="s">
        <v>617</v>
      </c>
      <c r="F425" s="560" t="s">
        <v>590</v>
      </c>
      <c r="G425" s="682"/>
      <c r="H425" s="682"/>
      <c r="I425" s="682"/>
      <c r="J425" s="682"/>
      <c r="K425" s="682"/>
      <c r="L425" s="682"/>
      <c r="M425" s="682"/>
      <c r="N425" s="682"/>
      <c r="O425" s="682"/>
      <c r="P425" s="682"/>
      <c r="Q425" s="682"/>
      <c r="R425" s="682"/>
      <c r="S425" s="682"/>
      <c r="T425" s="682"/>
      <c r="U425" s="682"/>
      <c r="V425" s="682"/>
      <c r="W425" s="682"/>
      <c r="X425" s="682"/>
      <c r="Y425" s="682"/>
      <c r="Z425" s="682"/>
      <c r="AA425" s="682"/>
      <c r="AB425" s="682"/>
      <c r="AC425" s="682"/>
      <c r="AD425" s="682"/>
      <c r="AE425" s="682"/>
    </row>
    <row r="426" ht="14.25" customHeight="1">
      <c r="A426" s="702"/>
      <c r="C426" s="717"/>
    </row>
    <row r="427" ht="14.25" customHeight="1">
      <c r="A427" s="702"/>
      <c r="C427" s="717"/>
    </row>
    <row r="428" ht="14.25" customHeight="1">
      <c r="A428" s="702"/>
      <c r="C428" s="717"/>
    </row>
    <row r="429" ht="14.25" customHeight="1">
      <c r="A429" s="727" t="s">
        <v>618</v>
      </c>
      <c r="B429" s="734">
        <v>44320.0</v>
      </c>
      <c r="C429" s="725" t="s">
        <v>619</v>
      </c>
      <c r="D429" s="560" t="s">
        <v>406</v>
      </c>
      <c r="E429" s="743" t="s">
        <v>620</v>
      </c>
      <c r="F429" s="560" t="s">
        <v>590</v>
      </c>
      <c r="G429" s="682"/>
      <c r="H429" s="682"/>
      <c r="I429" s="682"/>
      <c r="J429" s="682"/>
      <c r="K429" s="682" t="s">
        <v>2904</v>
      </c>
      <c r="L429" s="682"/>
      <c r="M429" s="682"/>
      <c r="N429" s="682"/>
      <c r="O429" s="682"/>
      <c r="P429" s="682"/>
      <c r="Q429" s="682"/>
      <c r="R429" s="682"/>
      <c r="S429" s="682"/>
      <c r="T429" s="682"/>
      <c r="U429" s="682"/>
      <c r="V429" s="682"/>
      <c r="W429" s="682"/>
      <c r="X429" s="682"/>
      <c r="Y429" s="682"/>
      <c r="Z429" s="682"/>
      <c r="AA429" s="682"/>
      <c r="AB429" s="682"/>
      <c r="AC429" s="682"/>
      <c r="AD429" s="682"/>
      <c r="AE429" s="682"/>
    </row>
    <row r="430" ht="14.25" customHeight="1">
      <c r="A430" s="729"/>
      <c r="C430" s="717"/>
    </row>
    <row r="431" ht="14.25" customHeight="1">
      <c r="A431" s="729"/>
      <c r="C431" s="717"/>
    </row>
    <row r="432" ht="14.25" customHeight="1">
      <c r="A432" s="729"/>
      <c r="C432" s="717"/>
    </row>
    <row r="433" ht="14.25" customHeight="1">
      <c r="A433" s="727" t="s">
        <v>622</v>
      </c>
      <c r="B433" s="734">
        <v>44320.0</v>
      </c>
      <c r="C433" s="725" t="s">
        <v>623</v>
      </c>
      <c r="D433" s="560" t="s">
        <v>406</v>
      </c>
      <c r="E433" s="743" t="s">
        <v>624</v>
      </c>
      <c r="F433" s="560" t="s">
        <v>590</v>
      </c>
      <c r="G433" s="682"/>
      <c r="H433" s="682"/>
      <c r="I433" s="682"/>
      <c r="J433" s="682"/>
      <c r="K433" s="682"/>
      <c r="L433" s="682"/>
      <c r="M433" s="682"/>
      <c r="N433" s="682"/>
      <c r="O433" s="682"/>
      <c r="P433" s="682"/>
      <c r="Q433" s="682"/>
      <c r="R433" s="682"/>
      <c r="S433" s="682"/>
      <c r="T433" s="682"/>
      <c r="U433" s="682"/>
      <c r="V433" s="682"/>
      <c r="W433" s="682"/>
      <c r="X433" s="682"/>
      <c r="Y433" s="682"/>
      <c r="Z433" s="682"/>
      <c r="AA433" s="682"/>
      <c r="AB433" s="682"/>
      <c r="AC433" s="682"/>
      <c r="AD433" s="682"/>
      <c r="AE433" s="682"/>
    </row>
    <row r="434" ht="14.25" customHeight="1">
      <c r="A434" s="729"/>
      <c r="C434" s="717"/>
    </row>
    <row r="435" ht="14.25" customHeight="1">
      <c r="A435" s="729"/>
      <c r="C435" s="717"/>
    </row>
    <row r="436" ht="14.25" customHeight="1">
      <c r="A436" s="729"/>
      <c r="C436" s="717"/>
    </row>
    <row r="437" ht="14.25" customHeight="1">
      <c r="A437" s="727" t="s">
        <v>625</v>
      </c>
      <c r="B437" s="734">
        <v>44320.0</v>
      </c>
      <c r="C437" s="725" t="s">
        <v>626</v>
      </c>
      <c r="D437" s="560" t="s">
        <v>406</v>
      </c>
      <c r="E437" s="743" t="s">
        <v>627</v>
      </c>
      <c r="F437" s="560" t="s">
        <v>590</v>
      </c>
      <c r="G437" s="682"/>
      <c r="H437" s="682"/>
      <c r="I437" s="682"/>
      <c r="J437" s="682"/>
      <c r="K437" s="682"/>
      <c r="L437" s="682"/>
      <c r="M437" s="682"/>
      <c r="N437" s="682"/>
      <c r="O437" s="682"/>
      <c r="P437" s="682"/>
      <c r="Q437" s="682"/>
      <c r="R437" s="682"/>
      <c r="S437" s="682"/>
      <c r="T437" s="682"/>
      <c r="U437" s="682"/>
      <c r="V437" s="682"/>
      <c r="W437" s="682"/>
      <c r="X437" s="682"/>
      <c r="Y437" s="682"/>
      <c r="Z437" s="682"/>
      <c r="AA437" s="682"/>
      <c r="AB437" s="682"/>
      <c r="AC437" s="682"/>
      <c r="AD437" s="682"/>
      <c r="AE437" s="682"/>
    </row>
    <row r="438" ht="14.25" customHeight="1">
      <c r="A438" s="702"/>
      <c r="C438" s="717"/>
    </row>
    <row r="439" ht="14.25" customHeight="1">
      <c r="A439" s="702"/>
    </row>
    <row r="440" ht="14.25" customHeight="1">
      <c r="A440" s="702"/>
    </row>
    <row r="441" ht="14.25" customHeight="1">
      <c r="A441" s="727" t="s">
        <v>628</v>
      </c>
      <c r="B441" s="734">
        <v>44327.0</v>
      </c>
      <c r="C441" s="738" t="s">
        <v>629</v>
      </c>
      <c r="D441" s="560" t="s">
        <v>406</v>
      </c>
      <c r="E441" s="743" t="s">
        <v>630</v>
      </c>
      <c r="F441" s="560" t="s">
        <v>590</v>
      </c>
      <c r="G441" s="560" t="s">
        <v>242</v>
      </c>
      <c r="H441" s="560"/>
      <c r="I441" s="560" t="s">
        <v>225</v>
      </c>
      <c r="J441" s="682" t="s">
        <v>631</v>
      </c>
      <c r="K441" s="560" t="s">
        <v>570</v>
      </c>
      <c r="L441" s="682" t="s">
        <v>600</v>
      </c>
      <c r="M441" s="682"/>
      <c r="N441" s="682"/>
      <c r="O441" s="682"/>
      <c r="P441" s="682"/>
      <c r="Q441" s="682"/>
      <c r="R441" s="682"/>
      <c r="S441" s="682"/>
      <c r="T441" s="682"/>
      <c r="U441" s="682"/>
      <c r="V441" s="682"/>
      <c r="W441" s="682"/>
      <c r="X441" s="682"/>
      <c r="Y441" s="682"/>
      <c r="Z441" s="682"/>
      <c r="AA441" s="682"/>
      <c r="AB441" s="682"/>
      <c r="AC441" s="682"/>
      <c r="AD441" s="682"/>
      <c r="AE441" s="682"/>
    </row>
    <row r="442" ht="14.25" customHeight="1">
      <c r="A442" s="729"/>
    </row>
    <row r="443" ht="14.25" customHeight="1">
      <c r="A443" s="729"/>
    </row>
    <row r="444" ht="14.25" customHeight="1">
      <c r="A444" s="729"/>
    </row>
    <row r="445" ht="14.25" customHeight="1">
      <c r="A445" s="727" t="s">
        <v>632</v>
      </c>
      <c r="B445" s="734">
        <v>44327.0</v>
      </c>
      <c r="C445" s="738" t="s">
        <v>633</v>
      </c>
      <c r="D445" s="560" t="s">
        <v>406</v>
      </c>
      <c r="E445" s="743" t="s">
        <v>634</v>
      </c>
      <c r="F445" s="560" t="s">
        <v>590</v>
      </c>
      <c r="G445" s="560" t="s">
        <v>242</v>
      </c>
      <c r="H445" s="560"/>
      <c r="I445" s="560" t="s">
        <v>225</v>
      </c>
      <c r="J445" s="682" t="s">
        <v>635</v>
      </c>
      <c r="K445" s="560" t="s">
        <v>570</v>
      </c>
      <c r="L445" s="682" t="s">
        <v>600</v>
      </c>
      <c r="M445" s="682"/>
      <c r="N445" s="682"/>
      <c r="O445" s="682"/>
      <c r="P445" s="682"/>
      <c r="Q445" s="682"/>
      <c r="R445" s="682"/>
      <c r="S445" s="682"/>
      <c r="T445" s="682"/>
      <c r="U445" s="682"/>
      <c r="V445" s="682"/>
      <c r="W445" s="682"/>
      <c r="X445" s="682"/>
      <c r="Y445" s="682"/>
      <c r="Z445" s="682"/>
      <c r="AA445" s="682"/>
      <c r="AB445" s="682"/>
      <c r="AC445" s="682"/>
      <c r="AD445" s="682"/>
      <c r="AE445" s="682"/>
    </row>
    <row r="446" ht="14.25" customHeight="1">
      <c r="A446" s="729"/>
    </row>
    <row r="447" ht="14.25" customHeight="1">
      <c r="A447" s="729"/>
    </row>
    <row r="448" ht="14.25" customHeight="1">
      <c r="A448" s="729"/>
    </row>
    <row r="449" ht="14.25" customHeight="1">
      <c r="A449" s="727" t="s">
        <v>636</v>
      </c>
      <c r="B449" s="734">
        <v>44327.0</v>
      </c>
      <c r="C449" s="738" t="s">
        <v>637</v>
      </c>
      <c r="D449" s="560" t="s">
        <v>406</v>
      </c>
      <c r="E449" s="743" t="s">
        <v>638</v>
      </c>
      <c r="F449" s="560" t="s">
        <v>590</v>
      </c>
      <c r="G449" s="560" t="s">
        <v>242</v>
      </c>
      <c r="H449" s="560"/>
      <c r="I449" s="560" t="s">
        <v>225</v>
      </c>
      <c r="J449" s="682" t="s">
        <v>639</v>
      </c>
      <c r="K449" s="560" t="s">
        <v>570</v>
      </c>
      <c r="L449" s="682" t="s">
        <v>600</v>
      </c>
      <c r="M449" s="682"/>
      <c r="N449" s="682"/>
      <c r="O449" s="682"/>
      <c r="P449" s="682"/>
      <c r="Q449" s="682"/>
      <c r="R449" s="682"/>
      <c r="S449" s="682"/>
      <c r="T449" s="682"/>
      <c r="U449" s="682"/>
      <c r="V449" s="682"/>
      <c r="W449" s="682"/>
      <c r="X449" s="682"/>
      <c r="Y449" s="682"/>
      <c r="Z449" s="682"/>
      <c r="AA449" s="682"/>
      <c r="AB449" s="682"/>
      <c r="AC449" s="682"/>
      <c r="AD449" s="682"/>
      <c r="AE449" s="682"/>
    </row>
    <row r="450" ht="14.25" customHeight="1">
      <c r="A450" s="702"/>
    </row>
    <row r="451" ht="14.25" customHeight="1">
      <c r="A451" s="702"/>
    </row>
    <row r="452" ht="14.25" customHeight="1">
      <c r="A452" s="702"/>
    </row>
    <row r="453" ht="14.25" customHeight="1">
      <c r="A453" s="727" t="s">
        <v>640</v>
      </c>
      <c r="B453" s="734">
        <v>44327.0</v>
      </c>
      <c r="C453" s="738" t="s">
        <v>641</v>
      </c>
      <c r="D453" s="560" t="s">
        <v>406</v>
      </c>
      <c r="E453" s="560" t="s">
        <v>642</v>
      </c>
      <c r="F453" s="560" t="s">
        <v>590</v>
      </c>
      <c r="G453" s="560" t="s">
        <v>242</v>
      </c>
      <c r="H453" s="560"/>
      <c r="I453" s="560" t="s">
        <v>225</v>
      </c>
      <c r="J453" s="682" t="s">
        <v>643</v>
      </c>
      <c r="K453" s="560" t="s">
        <v>570</v>
      </c>
      <c r="L453" s="682" t="s">
        <v>600</v>
      </c>
      <c r="M453" s="682"/>
      <c r="N453" s="682"/>
      <c r="O453" s="682"/>
      <c r="P453" s="682"/>
      <c r="Q453" s="682"/>
      <c r="R453" s="682"/>
      <c r="S453" s="682"/>
      <c r="T453" s="682"/>
      <c r="U453" s="682"/>
      <c r="V453" s="682"/>
      <c r="W453" s="682"/>
      <c r="X453" s="682"/>
      <c r="Y453" s="682"/>
      <c r="Z453" s="682"/>
      <c r="AA453" s="682"/>
      <c r="AB453" s="682"/>
      <c r="AC453" s="682"/>
      <c r="AD453" s="682"/>
      <c r="AE453" s="682"/>
    </row>
    <row r="454" ht="14.25" customHeight="1">
      <c r="A454" s="702"/>
    </row>
    <row r="455" ht="14.25" customHeight="1">
      <c r="A455" s="702"/>
    </row>
    <row r="456" ht="14.25" customHeight="1">
      <c r="A456" s="702"/>
    </row>
    <row r="457" ht="14.25" customHeight="1">
      <c r="A457" s="727" t="s">
        <v>644</v>
      </c>
      <c r="B457" s="734">
        <v>44327.0</v>
      </c>
      <c r="C457" s="738" t="s">
        <v>645</v>
      </c>
      <c r="D457" s="560" t="s">
        <v>406</v>
      </c>
      <c r="E457" s="560" t="s">
        <v>646</v>
      </c>
      <c r="F457" s="560" t="s">
        <v>590</v>
      </c>
      <c r="G457" s="560" t="s">
        <v>242</v>
      </c>
      <c r="H457" s="560"/>
      <c r="I457" s="560" t="s">
        <v>225</v>
      </c>
      <c r="J457" s="682" t="s">
        <v>647</v>
      </c>
      <c r="K457" s="560" t="s">
        <v>570</v>
      </c>
      <c r="L457" s="682" t="s">
        <v>600</v>
      </c>
      <c r="M457" s="682"/>
      <c r="N457" s="682"/>
      <c r="O457" s="682"/>
      <c r="P457" s="682"/>
      <c r="Q457" s="682"/>
      <c r="R457" s="682"/>
      <c r="S457" s="682"/>
      <c r="T457" s="682"/>
      <c r="U457" s="682"/>
      <c r="V457" s="682"/>
      <c r="W457" s="682"/>
      <c r="X457" s="682"/>
      <c r="Y457" s="682"/>
      <c r="Z457" s="682"/>
      <c r="AA457" s="682"/>
      <c r="AB457" s="682"/>
      <c r="AC457" s="682"/>
      <c r="AD457" s="682"/>
      <c r="AE457" s="682"/>
    </row>
    <row r="458" ht="14.25" customHeight="1">
      <c r="A458" s="702"/>
    </row>
    <row r="459" ht="14.25" customHeight="1">
      <c r="A459" s="702"/>
    </row>
    <row r="460" ht="14.25" customHeight="1">
      <c r="A460" s="702"/>
    </row>
    <row r="461" ht="14.25" customHeight="1">
      <c r="A461" s="727" t="s">
        <v>648</v>
      </c>
      <c r="B461" s="734">
        <v>44327.0</v>
      </c>
      <c r="C461" s="738" t="s">
        <v>649</v>
      </c>
      <c r="D461" s="560" t="s">
        <v>406</v>
      </c>
      <c r="E461" s="743" t="s">
        <v>650</v>
      </c>
      <c r="F461" s="560" t="s">
        <v>590</v>
      </c>
      <c r="G461" s="560" t="s">
        <v>242</v>
      </c>
      <c r="H461" s="560"/>
      <c r="I461" s="560" t="s">
        <v>225</v>
      </c>
      <c r="J461" s="682" t="s">
        <v>651</v>
      </c>
      <c r="K461" s="560" t="s">
        <v>570</v>
      </c>
      <c r="L461" s="682" t="s">
        <v>600</v>
      </c>
      <c r="M461" s="682"/>
      <c r="N461" s="682"/>
      <c r="O461" s="682"/>
      <c r="P461" s="682"/>
      <c r="Q461" s="682"/>
      <c r="R461" s="682"/>
      <c r="S461" s="682"/>
      <c r="T461" s="682"/>
      <c r="U461" s="682"/>
      <c r="V461" s="682"/>
      <c r="W461" s="682"/>
      <c r="X461" s="682"/>
      <c r="Y461" s="682"/>
      <c r="Z461" s="682"/>
      <c r="AA461" s="682"/>
      <c r="AB461" s="682"/>
      <c r="AC461" s="682"/>
      <c r="AD461" s="682"/>
      <c r="AE461" s="682"/>
    </row>
    <row r="462" ht="14.25" customHeight="1">
      <c r="A462" s="702"/>
    </row>
    <row r="463" ht="14.25" customHeight="1">
      <c r="A463" s="702"/>
    </row>
    <row r="464" ht="14.25" customHeight="1">
      <c r="A464" s="702"/>
    </row>
    <row r="465" ht="14.25" customHeight="1">
      <c r="A465" s="727" t="s">
        <v>652</v>
      </c>
      <c r="B465" s="734">
        <v>44334.0</v>
      </c>
      <c r="C465" s="725" t="s">
        <v>653</v>
      </c>
      <c r="D465" s="560" t="s">
        <v>654</v>
      </c>
      <c r="E465" s="744">
        <v>5052.0</v>
      </c>
      <c r="F465" s="560" t="s">
        <v>590</v>
      </c>
      <c r="G465" s="560" t="s">
        <v>242</v>
      </c>
      <c r="H465" s="560"/>
      <c r="I465" s="560" t="s">
        <v>225</v>
      </c>
      <c r="J465" s="682"/>
      <c r="K465" s="560" t="s">
        <v>570</v>
      </c>
      <c r="L465" s="682" t="s">
        <v>656</v>
      </c>
      <c r="M465" s="682"/>
      <c r="N465" s="682"/>
      <c r="O465" s="682"/>
      <c r="P465" s="682"/>
      <c r="Q465" s="682"/>
      <c r="R465" s="682"/>
      <c r="S465" s="682"/>
      <c r="T465" s="682"/>
      <c r="U465" s="682"/>
      <c r="V465" s="682"/>
      <c r="W465" s="682"/>
      <c r="X465" s="682"/>
      <c r="Y465" s="682"/>
      <c r="Z465" s="682"/>
      <c r="AA465" s="682"/>
      <c r="AB465" s="682"/>
      <c r="AC465" s="682"/>
      <c r="AD465" s="682"/>
      <c r="AE465" s="682"/>
    </row>
    <row r="466" ht="14.25" customHeight="1">
      <c r="A466" s="729"/>
      <c r="F466" s="390"/>
      <c r="L466" s="304" t="s">
        <v>657</v>
      </c>
    </row>
    <row r="467" ht="14.25" customHeight="1">
      <c r="A467" s="729"/>
      <c r="F467" s="390"/>
    </row>
    <row r="468" ht="14.25" customHeight="1">
      <c r="A468" s="729"/>
      <c r="F468" s="390"/>
    </row>
    <row r="469" ht="14.25" customHeight="1">
      <c r="A469" s="727" t="s">
        <v>658</v>
      </c>
      <c r="B469" s="734">
        <v>44334.0</v>
      </c>
      <c r="C469" s="725" t="s">
        <v>659</v>
      </c>
      <c r="D469" s="560" t="s">
        <v>654</v>
      </c>
      <c r="E469" s="560" t="s">
        <v>660</v>
      </c>
      <c r="F469" s="560" t="s">
        <v>590</v>
      </c>
      <c r="G469" s="560" t="s">
        <v>242</v>
      </c>
      <c r="H469" s="560"/>
      <c r="I469" s="560" t="s">
        <v>225</v>
      </c>
      <c r="J469" s="682"/>
      <c r="K469" s="560" t="s">
        <v>570</v>
      </c>
      <c r="L469" s="682" t="s">
        <v>661</v>
      </c>
      <c r="M469" s="682"/>
      <c r="N469" s="682"/>
      <c r="O469" s="682"/>
      <c r="P469" s="682"/>
      <c r="Q469" s="682"/>
      <c r="R469" s="682"/>
      <c r="S469" s="682"/>
      <c r="T469" s="682"/>
      <c r="U469" s="682"/>
      <c r="V469" s="682"/>
      <c r="W469" s="682"/>
      <c r="X469" s="682"/>
      <c r="Y469" s="682"/>
      <c r="Z469" s="682"/>
      <c r="AA469" s="682"/>
      <c r="AB469" s="682"/>
      <c r="AC469" s="682"/>
      <c r="AD469" s="682"/>
      <c r="AE469" s="682"/>
    </row>
    <row r="470" ht="14.25" customHeight="1">
      <c r="A470" s="729"/>
      <c r="F470" s="390"/>
    </row>
    <row r="471" ht="14.25" customHeight="1">
      <c r="A471" s="702"/>
      <c r="F471" s="390"/>
    </row>
    <row r="472" ht="14.25" customHeight="1">
      <c r="A472" s="702"/>
    </row>
    <row r="473" ht="14.25" customHeight="1">
      <c r="A473" s="727" t="s">
        <v>662</v>
      </c>
      <c r="B473" s="734">
        <v>44337.0</v>
      </c>
      <c r="C473" s="725" t="s">
        <v>251</v>
      </c>
      <c r="D473" s="560" t="s">
        <v>654</v>
      </c>
      <c r="E473" s="560">
        <v>13544.0</v>
      </c>
      <c r="F473" s="560" t="s">
        <v>590</v>
      </c>
      <c r="G473" s="560" t="s">
        <v>242</v>
      </c>
      <c r="H473" s="560"/>
      <c r="I473" s="560" t="s">
        <v>225</v>
      </c>
      <c r="J473" s="682"/>
      <c r="K473" s="560" t="s">
        <v>570</v>
      </c>
      <c r="L473" s="682" t="s">
        <v>656</v>
      </c>
      <c r="M473" s="682"/>
      <c r="N473" s="682"/>
      <c r="O473" s="682"/>
      <c r="P473" s="682"/>
      <c r="Q473" s="682"/>
      <c r="R473" s="682"/>
      <c r="S473" s="682"/>
      <c r="T473" s="682"/>
      <c r="U473" s="682"/>
      <c r="V473" s="682"/>
      <c r="W473" s="682"/>
      <c r="X473" s="682"/>
      <c r="Y473" s="682"/>
      <c r="Z473" s="682"/>
      <c r="AA473" s="682"/>
      <c r="AB473" s="682"/>
      <c r="AC473" s="682"/>
      <c r="AD473" s="682"/>
      <c r="AE473" s="682"/>
    </row>
    <row r="474" ht="14.25" customHeight="1">
      <c r="A474" s="702"/>
      <c r="L474" s="304" t="s">
        <v>664</v>
      </c>
    </row>
    <row r="475" ht="14.25" customHeight="1">
      <c r="A475" s="702"/>
    </row>
    <row r="476" ht="14.25" customHeight="1">
      <c r="A476" s="702"/>
    </row>
    <row r="477" ht="14.25" customHeight="1">
      <c r="A477" s="727" t="s">
        <v>665</v>
      </c>
      <c r="B477" s="734">
        <v>44344.0</v>
      </c>
      <c r="C477" s="725" t="s">
        <v>653</v>
      </c>
      <c r="D477" s="560" t="s">
        <v>654</v>
      </c>
      <c r="E477" s="560">
        <v>10860.0</v>
      </c>
      <c r="F477" s="560" t="s">
        <v>667</v>
      </c>
      <c r="G477" s="560" t="s">
        <v>242</v>
      </c>
      <c r="H477" s="560"/>
      <c r="I477" s="560" t="s">
        <v>668</v>
      </c>
      <c r="J477" s="682"/>
      <c r="K477" s="560" t="s">
        <v>570</v>
      </c>
      <c r="L477" s="682" t="s">
        <v>669</v>
      </c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682"/>
      <c r="AB477" s="682"/>
      <c r="AC477" s="682"/>
      <c r="AD477" s="682"/>
      <c r="AE477" s="682"/>
    </row>
    <row r="478" ht="14.25" customHeight="1">
      <c r="A478" s="702"/>
      <c r="H478" s="390"/>
      <c r="I478" s="390"/>
      <c r="L478" s="304" t="s">
        <v>657</v>
      </c>
    </row>
    <row r="479" ht="14.25" customHeight="1">
      <c r="A479" s="702"/>
      <c r="H479" s="390"/>
      <c r="I479" s="390"/>
      <c r="L479" s="304" t="s">
        <v>670</v>
      </c>
    </row>
    <row r="480" ht="14.25" customHeight="1">
      <c r="A480" s="702"/>
      <c r="H480" s="390"/>
      <c r="I480" s="390"/>
    </row>
    <row r="481" ht="14.25" customHeight="1">
      <c r="A481" s="727" t="s">
        <v>671</v>
      </c>
      <c r="B481" s="734">
        <v>44355.0</v>
      </c>
      <c r="C481" s="738" t="s">
        <v>672</v>
      </c>
      <c r="D481" s="560" t="s">
        <v>406</v>
      </c>
      <c r="E481" s="743" t="s">
        <v>673</v>
      </c>
      <c r="F481" s="682"/>
      <c r="G481" s="560" t="s">
        <v>674</v>
      </c>
      <c r="H481" s="560"/>
      <c r="I481" s="560" t="s">
        <v>668</v>
      </c>
      <c r="J481" s="682"/>
      <c r="K481" s="560" t="s">
        <v>570</v>
      </c>
      <c r="L481" s="682" t="s">
        <v>600</v>
      </c>
      <c r="M481" s="682"/>
      <c r="N481" s="682"/>
      <c r="O481" s="682"/>
      <c r="P481" s="682"/>
      <c r="Q481" s="682"/>
      <c r="R481" s="682"/>
      <c r="S481" s="682"/>
      <c r="T481" s="682"/>
      <c r="U481" s="682"/>
      <c r="V481" s="682"/>
      <c r="W481" s="682"/>
      <c r="X481" s="682"/>
      <c r="Y481" s="682"/>
      <c r="Z481" s="682"/>
      <c r="AA481" s="682"/>
      <c r="AB481" s="682"/>
      <c r="AC481" s="682"/>
      <c r="AD481" s="682"/>
      <c r="AE481" s="682"/>
    </row>
    <row r="482" ht="14.25" customHeight="1">
      <c r="A482" s="729"/>
      <c r="B482" s="313"/>
      <c r="H482" s="390"/>
      <c r="I482" s="390"/>
    </row>
    <row r="483" ht="14.25" customHeight="1">
      <c r="A483" s="702"/>
      <c r="B483" s="313"/>
      <c r="H483" s="390"/>
      <c r="I483" s="390"/>
    </row>
    <row r="484" ht="14.25" customHeight="1">
      <c r="A484" s="729"/>
      <c r="B484" s="313"/>
      <c r="H484" s="390"/>
      <c r="I484" s="390"/>
    </row>
    <row r="485" ht="14.25" customHeight="1">
      <c r="A485" s="727" t="s">
        <v>675</v>
      </c>
      <c r="B485" s="734">
        <v>44355.0</v>
      </c>
      <c r="C485" s="738" t="s">
        <v>676</v>
      </c>
      <c r="D485" s="560" t="s">
        <v>406</v>
      </c>
      <c r="E485" s="743" t="s">
        <v>677</v>
      </c>
      <c r="F485" s="560" t="s">
        <v>386</v>
      </c>
      <c r="G485" s="560" t="s">
        <v>242</v>
      </c>
      <c r="H485" s="560"/>
      <c r="I485" s="560" t="s">
        <v>22</v>
      </c>
      <c r="J485" s="560" t="s">
        <v>678</v>
      </c>
      <c r="K485" s="682"/>
      <c r="L485" s="682" t="s">
        <v>657</v>
      </c>
      <c r="M485" s="682"/>
      <c r="N485" s="682"/>
      <c r="O485" s="682"/>
      <c r="P485" s="682"/>
      <c r="Q485" s="682"/>
      <c r="R485" s="682"/>
      <c r="S485" s="682"/>
      <c r="T485" s="682"/>
      <c r="U485" s="682"/>
      <c r="V485" s="682"/>
      <c r="W485" s="682"/>
      <c r="X485" s="682"/>
      <c r="Y485" s="682"/>
      <c r="Z485" s="682"/>
      <c r="AA485" s="682"/>
      <c r="AB485" s="682"/>
      <c r="AC485" s="682"/>
      <c r="AD485" s="682"/>
      <c r="AE485" s="682"/>
    </row>
    <row r="486" ht="14.25" customHeight="1">
      <c r="A486" s="729"/>
      <c r="B486" s="313"/>
      <c r="G486" s="304" t="s">
        <v>680</v>
      </c>
      <c r="H486" s="390"/>
      <c r="I486" s="390"/>
    </row>
    <row r="487" ht="14.25" customHeight="1">
      <c r="A487" s="702"/>
      <c r="B487" s="313"/>
      <c r="H487" s="390"/>
      <c r="I487" s="390"/>
    </row>
    <row r="488" ht="14.25" customHeight="1">
      <c r="A488" s="729"/>
      <c r="B488" s="313"/>
      <c r="H488" s="390"/>
      <c r="I488" s="390"/>
    </row>
    <row r="489" ht="14.25" customHeight="1">
      <c r="A489" s="727" t="s">
        <v>681</v>
      </c>
      <c r="B489" s="734">
        <v>44355.0</v>
      </c>
      <c r="C489" s="738" t="s">
        <v>534</v>
      </c>
      <c r="D489" s="560" t="s">
        <v>406</v>
      </c>
      <c r="E489" s="743" t="s">
        <v>682</v>
      </c>
      <c r="F489" s="682"/>
      <c r="G489" s="560" t="s">
        <v>674</v>
      </c>
      <c r="H489" s="560"/>
      <c r="I489" s="560" t="s">
        <v>668</v>
      </c>
      <c r="J489" s="682"/>
      <c r="K489" s="560" t="s">
        <v>570</v>
      </c>
      <c r="L489" s="682" t="s">
        <v>600</v>
      </c>
      <c r="M489" s="682"/>
      <c r="N489" s="682"/>
      <c r="O489" s="682"/>
      <c r="P489" s="682"/>
      <c r="Q489" s="682"/>
      <c r="R489" s="682"/>
      <c r="S489" s="682"/>
      <c r="T489" s="682"/>
      <c r="U489" s="682"/>
      <c r="V489" s="682"/>
      <c r="W489" s="682"/>
      <c r="X489" s="682"/>
      <c r="Y489" s="682"/>
      <c r="Z489" s="682"/>
      <c r="AA489" s="682"/>
      <c r="AB489" s="682"/>
      <c r="AC489" s="682"/>
      <c r="AD489" s="682"/>
      <c r="AE489" s="682"/>
    </row>
    <row r="490" ht="14.25" customHeight="1">
      <c r="A490" s="702"/>
      <c r="B490" s="313"/>
      <c r="H490" s="390"/>
      <c r="I490" s="390"/>
    </row>
    <row r="491" ht="14.25" customHeight="1">
      <c r="A491" s="702"/>
      <c r="B491" s="313"/>
      <c r="H491" s="390"/>
      <c r="I491" s="390"/>
    </row>
    <row r="492" ht="14.25" customHeight="1">
      <c r="A492" s="702"/>
      <c r="H492" s="390"/>
      <c r="I492" s="390"/>
    </row>
    <row r="493" ht="14.25" customHeight="1">
      <c r="A493" s="727" t="s">
        <v>683</v>
      </c>
      <c r="B493" s="734">
        <v>44355.0</v>
      </c>
      <c r="C493" s="738" t="s">
        <v>684</v>
      </c>
      <c r="D493" s="560" t="s">
        <v>406</v>
      </c>
      <c r="E493" s="743" t="s">
        <v>673</v>
      </c>
      <c r="F493" s="682"/>
      <c r="G493" s="560" t="s">
        <v>674</v>
      </c>
      <c r="H493" s="560"/>
      <c r="I493" s="560" t="s">
        <v>668</v>
      </c>
      <c r="J493" s="682"/>
      <c r="K493" s="560" t="s">
        <v>570</v>
      </c>
      <c r="L493" s="682" t="s">
        <v>600</v>
      </c>
      <c r="M493" s="682"/>
      <c r="N493" s="682"/>
      <c r="O493" s="682"/>
      <c r="P493" s="682"/>
      <c r="Q493" s="682"/>
      <c r="R493" s="682"/>
      <c r="S493" s="682"/>
      <c r="T493" s="682"/>
      <c r="U493" s="682"/>
      <c r="V493" s="682"/>
      <c r="W493" s="682"/>
      <c r="X493" s="682"/>
      <c r="Y493" s="682"/>
      <c r="Z493" s="682"/>
      <c r="AA493" s="682"/>
      <c r="AB493" s="682"/>
      <c r="AC493" s="682"/>
      <c r="AD493" s="682"/>
      <c r="AE493" s="682"/>
    </row>
    <row r="494" ht="14.25" customHeight="1">
      <c r="A494" s="702"/>
      <c r="E494" s="68"/>
      <c r="H494" s="390"/>
      <c r="I494" s="390"/>
    </row>
    <row r="495" ht="14.25" customHeight="1">
      <c r="A495" s="702"/>
      <c r="E495" s="68"/>
      <c r="H495" s="390"/>
      <c r="I495" s="390"/>
    </row>
    <row r="496" ht="14.25" customHeight="1">
      <c r="A496" s="702"/>
      <c r="E496" s="68"/>
      <c r="H496" s="390"/>
      <c r="I496" s="390"/>
    </row>
    <row r="497" ht="14.25" customHeight="1">
      <c r="A497" s="727" t="s">
        <v>685</v>
      </c>
      <c r="B497" s="734">
        <v>44355.0</v>
      </c>
      <c r="C497" s="738" t="s">
        <v>686</v>
      </c>
      <c r="D497" s="560" t="s">
        <v>406</v>
      </c>
      <c r="E497" s="743" t="s">
        <v>687</v>
      </c>
      <c r="F497" s="682"/>
      <c r="G497" s="560" t="s">
        <v>674</v>
      </c>
      <c r="H497" s="560"/>
      <c r="I497" s="560" t="s">
        <v>668</v>
      </c>
      <c r="J497" s="682"/>
      <c r="K497" s="560" t="s">
        <v>570</v>
      </c>
      <c r="L497" s="682" t="s">
        <v>688</v>
      </c>
      <c r="M497" s="682"/>
      <c r="N497" s="682"/>
      <c r="O497" s="682"/>
      <c r="P497" s="682"/>
      <c r="Q497" s="682"/>
      <c r="R497" s="682"/>
      <c r="S497" s="682"/>
      <c r="T497" s="682"/>
      <c r="U497" s="682"/>
      <c r="V497" s="682"/>
      <c r="W497" s="682"/>
      <c r="X497" s="682"/>
      <c r="Y497" s="682"/>
      <c r="Z497" s="682"/>
      <c r="AA497" s="682"/>
      <c r="AB497" s="682"/>
      <c r="AC497" s="682"/>
      <c r="AD497" s="682"/>
      <c r="AE497" s="682"/>
    </row>
    <row r="498" ht="14.25" customHeight="1">
      <c r="A498" s="702"/>
    </row>
    <row r="499" ht="14.25" customHeight="1">
      <c r="A499" s="702"/>
    </row>
    <row r="500" ht="14.25" customHeight="1">
      <c r="A500" s="745"/>
      <c r="F500" s="390"/>
    </row>
    <row r="501" ht="14.25" customHeight="1">
      <c r="A501" s="746" t="s">
        <v>689</v>
      </c>
      <c r="B501" s="734">
        <v>44357.0</v>
      </c>
      <c r="C501" s="725" t="s">
        <v>690</v>
      </c>
      <c r="D501" s="682" t="s">
        <v>373</v>
      </c>
      <c r="E501" s="682"/>
      <c r="F501" s="560" t="s">
        <v>691</v>
      </c>
      <c r="G501" s="560" t="s">
        <v>692</v>
      </c>
      <c r="H501" s="682"/>
      <c r="I501" s="682"/>
      <c r="J501" s="682"/>
      <c r="K501" s="682"/>
      <c r="L501" s="682"/>
      <c r="M501" s="682"/>
      <c r="N501" s="682"/>
      <c r="O501" s="682"/>
      <c r="P501" s="682"/>
      <c r="Q501" s="682"/>
      <c r="R501" s="682"/>
      <c r="S501" s="682"/>
      <c r="T501" s="682"/>
      <c r="U501" s="682"/>
      <c r="V501" s="682"/>
      <c r="W501" s="682"/>
      <c r="X501" s="682"/>
      <c r="Y501" s="682"/>
      <c r="Z501" s="682"/>
      <c r="AA501" s="682"/>
      <c r="AB501" s="682"/>
      <c r="AC501" s="682"/>
      <c r="AD501" s="682"/>
      <c r="AE501" s="682"/>
    </row>
    <row r="502" ht="14.25" customHeight="1">
      <c r="A502" s="745"/>
    </row>
    <row r="503" ht="14.25" customHeight="1">
      <c r="A503" s="745"/>
    </row>
    <row r="504" ht="14.25" customHeight="1">
      <c r="A504" s="745"/>
    </row>
    <row r="505" ht="14.25" customHeight="1">
      <c r="A505" s="746" t="s">
        <v>693</v>
      </c>
      <c r="B505" s="734">
        <v>44357.0</v>
      </c>
      <c r="C505" s="725" t="s">
        <v>694</v>
      </c>
      <c r="D505" s="682" t="s">
        <v>373</v>
      </c>
      <c r="E505" s="560" t="s">
        <v>695</v>
      </c>
      <c r="F505" s="560" t="s">
        <v>696</v>
      </c>
      <c r="G505" s="560" t="s">
        <v>692</v>
      </c>
      <c r="H505" s="682"/>
      <c r="I505" s="682"/>
      <c r="J505" s="682"/>
      <c r="K505" s="682"/>
      <c r="L505" s="682"/>
      <c r="M505" s="682"/>
      <c r="N505" s="682"/>
      <c r="O505" s="682"/>
      <c r="P505" s="682"/>
      <c r="Q505" s="682"/>
      <c r="R505" s="682"/>
      <c r="S505" s="682"/>
      <c r="T505" s="682"/>
      <c r="U505" s="682"/>
      <c r="V505" s="682"/>
      <c r="W505" s="682"/>
      <c r="X505" s="682"/>
      <c r="Y505" s="682"/>
      <c r="Z505" s="682"/>
      <c r="AA505" s="682"/>
      <c r="AB505" s="682"/>
      <c r="AC505" s="682"/>
      <c r="AD505" s="682"/>
      <c r="AE505" s="682"/>
    </row>
    <row r="506" ht="14.25" customHeight="1">
      <c r="A506" s="745"/>
    </row>
    <row r="507" ht="14.25" customHeight="1">
      <c r="A507" s="702"/>
    </row>
    <row r="508" ht="14.25" customHeight="1">
      <c r="A508" s="702"/>
    </row>
    <row r="509" ht="14.25" customHeight="1">
      <c r="A509" s="727" t="s">
        <v>697</v>
      </c>
      <c r="B509" s="734">
        <v>44358.0</v>
      </c>
      <c r="C509" s="747" t="s">
        <v>698</v>
      </c>
      <c r="D509" s="560" t="s">
        <v>1082</v>
      </c>
      <c r="E509" s="682"/>
      <c r="F509" s="682" t="s">
        <v>700</v>
      </c>
      <c r="G509" s="560" t="s">
        <v>242</v>
      </c>
      <c r="H509" s="560"/>
      <c r="I509" s="560" t="s">
        <v>22</v>
      </c>
      <c r="J509" s="682" t="s">
        <v>701</v>
      </c>
      <c r="K509" s="682"/>
      <c r="L509" s="682"/>
      <c r="M509" s="682"/>
      <c r="N509" s="682"/>
      <c r="O509" s="682"/>
      <c r="P509" s="682"/>
      <c r="Q509" s="682"/>
      <c r="R509" s="682"/>
      <c r="S509" s="682"/>
      <c r="T509" s="682"/>
      <c r="U509" s="682"/>
      <c r="V509" s="682"/>
      <c r="W509" s="682"/>
      <c r="X509" s="682"/>
      <c r="Y509" s="682"/>
      <c r="Z509" s="682"/>
      <c r="AA509" s="682"/>
      <c r="AB509" s="682"/>
      <c r="AC509" s="682"/>
      <c r="AD509" s="682"/>
      <c r="AE509" s="682"/>
    </row>
    <row r="510" ht="14.25" customHeight="1">
      <c r="A510" s="702"/>
      <c r="F510" s="304" t="s">
        <v>702</v>
      </c>
      <c r="G510" s="304" t="s">
        <v>703</v>
      </c>
      <c r="H510" s="390"/>
      <c r="I510" s="390"/>
    </row>
    <row r="511" ht="14.25" customHeight="1">
      <c r="A511" s="702"/>
      <c r="G511" s="304" t="s">
        <v>704</v>
      </c>
      <c r="H511" s="390"/>
      <c r="I511" s="390"/>
    </row>
    <row r="512" ht="14.25" customHeight="1">
      <c r="A512" s="702"/>
      <c r="H512" s="390"/>
      <c r="I512" s="390"/>
    </row>
    <row r="513" ht="14.25" customHeight="1">
      <c r="A513" s="727" t="s">
        <v>705</v>
      </c>
      <c r="B513" s="734">
        <v>44358.0</v>
      </c>
      <c r="C513" s="725" t="s">
        <v>187</v>
      </c>
      <c r="D513" s="560" t="s">
        <v>706</v>
      </c>
      <c r="E513" s="682"/>
      <c r="F513" s="560" t="s">
        <v>707</v>
      </c>
      <c r="G513" s="560" t="s">
        <v>242</v>
      </c>
      <c r="H513" s="560"/>
      <c r="I513" s="560" t="s">
        <v>225</v>
      </c>
      <c r="J513" s="682" t="s">
        <v>708</v>
      </c>
      <c r="K513" s="682"/>
      <c r="L513" s="682"/>
      <c r="M513" s="682"/>
      <c r="N513" s="682"/>
      <c r="O513" s="682"/>
      <c r="P513" s="682"/>
      <c r="Q513" s="682"/>
      <c r="R513" s="682"/>
      <c r="S513" s="682"/>
      <c r="T513" s="682"/>
      <c r="U513" s="682"/>
      <c r="V513" s="682"/>
      <c r="W513" s="682"/>
      <c r="X513" s="682"/>
      <c r="Y513" s="682"/>
      <c r="Z513" s="682"/>
      <c r="AA513" s="682"/>
      <c r="AB513" s="682"/>
      <c r="AC513" s="682"/>
      <c r="AD513" s="682"/>
      <c r="AE513" s="682"/>
    </row>
    <row r="514" ht="14.25" customHeight="1">
      <c r="A514" s="702"/>
    </row>
    <row r="515" ht="14.25" customHeight="1">
      <c r="A515" s="702"/>
    </row>
    <row r="516" ht="14.25" customHeight="1">
      <c r="A516" s="702"/>
    </row>
    <row r="517" ht="14.25" customHeight="1">
      <c r="A517" s="727" t="s">
        <v>709</v>
      </c>
      <c r="B517" s="734">
        <v>44362.0</v>
      </c>
      <c r="C517" s="725" t="s">
        <v>710</v>
      </c>
      <c r="D517" s="560" t="s">
        <v>40</v>
      </c>
      <c r="E517" s="560">
        <v>1.1435245E7</v>
      </c>
      <c r="F517" s="560" t="s">
        <v>696</v>
      </c>
      <c r="G517" s="560" t="s">
        <v>711</v>
      </c>
      <c r="H517" s="560"/>
      <c r="I517" s="560" t="s">
        <v>22</v>
      </c>
      <c r="J517" s="682"/>
      <c r="K517" s="682"/>
      <c r="L517" s="682"/>
      <c r="M517" s="682"/>
      <c r="N517" s="682"/>
      <c r="O517" s="682"/>
      <c r="P517" s="682"/>
      <c r="Q517" s="682"/>
      <c r="R517" s="682"/>
      <c r="S517" s="682"/>
      <c r="T517" s="682"/>
      <c r="U517" s="682"/>
      <c r="V517" s="682"/>
      <c r="W517" s="682"/>
      <c r="X517" s="682"/>
      <c r="Y517" s="682"/>
      <c r="Z517" s="682"/>
      <c r="AA517" s="682"/>
      <c r="AB517" s="682"/>
      <c r="AC517" s="682"/>
      <c r="AD517" s="682"/>
      <c r="AE517" s="682"/>
    </row>
    <row r="518" ht="14.25" customHeight="1">
      <c r="A518" s="729"/>
      <c r="C518" s="313"/>
    </row>
    <row r="519" ht="14.25" customHeight="1">
      <c r="A519" s="729"/>
      <c r="C519" s="313"/>
    </row>
    <row r="520" ht="14.25" customHeight="1">
      <c r="A520" s="729"/>
      <c r="C520" s="313"/>
    </row>
    <row r="521" ht="14.25" customHeight="1">
      <c r="A521" s="727" t="s">
        <v>712</v>
      </c>
      <c r="B521" s="734">
        <v>44362.0</v>
      </c>
      <c r="C521" s="725" t="s">
        <v>710</v>
      </c>
      <c r="D521" s="560" t="s">
        <v>40</v>
      </c>
      <c r="E521" s="560" t="s">
        <v>713</v>
      </c>
      <c r="F521" s="560" t="s">
        <v>696</v>
      </c>
      <c r="G521" s="560" t="s">
        <v>711</v>
      </c>
      <c r="H521" s="560"/>
      <c r="I521" s="560" t="s">
        <v>22</v>
      </c>
      <c r="J521" s="682"/>
      <c r="K521" s="682"/>
      <c r="L521" s="682"/>
      <c r="M521" s="682"/>
      <c r="N521" s="682"/>
      <c r="O521" s="682"/>
      <c r="P521" s="682"/>
      <c r="Q521" s="682"/>
      <c r="R521" s="682"/>
      <c r="S521" s="682"/>
      <c r="T521" s="682"/>
      <c r="U521" s="682"/>
      <c r="V521" s="682"/>
      <c r="W521" s="682"/>
      <c r="X521" s="682"/>
      <c r="Y521" s="682"/>
      <c r="Z521" s="682"/>
      <c r="AA521" s="682"/>
      <c r="AB521" s="682"/>
      <c r="AC521" s="682"/>
      <c r="AD521" s="682"/>
      <c r="AE521" s="682"/>
    </row>
    <row r="522" ht="14.25" customHeight="1">
      <c r="A522" s="729"/>
      <c r="C522" s="313"/>
    </row>
    <row r="523" ht="14.25" customHeight="1">
      <c r="A523" s="729"/>
      <c r="C523" s="313"/>
    </row>
    <row r="524" ht="14.25" customHeight="1">
      <c r="A524" s="729"/>
      <c r="C524" s="313"/>
    </row>
    <row r="525" ht="14.25" customHeight="1">
      <c r="A525" s="727" t="s">
        <v>714</v>
      </c>
      <c r="B525" s="734">
        <v>44362.0</v>
      </c>
      <c r="C525" s="725" t="s">
        <v>710</v>
      </c>
      <c r="D525" s="560" t="s">
        <v>40</v>
      </c>
      <c r="E525" s="560">
        <v>1.5300552E7</v>
      </c>
      <c r="F525" s="560" t="s">
        <v>696</v>
      </c>
      <c r="G525" s="560" t="s">
        <v>715</v>
      </c>
      <c r="H525" s="560"/>
      <c r="I525" s="560" t="s">
        <v>22</v>
      </c>
      <c r="J525" s="682"/>
      <c r="K525" s="682"/>
      <c r="L525" s="682"/>
      <c r="M525" s="682"/>
      <c r="N525" s="682"/>
      <c r="O525" s="682"/>
      <c r="P525" s="682"/>
      <c r="Q525" s="682"/>
      <c r="R525" s="682"/>
      <c r="S525" s="682"/>
      <c r="T525" s="682"/>
      <c r="U525" s="682"/>
      <c r="V525" s="682"/>
      <c r="W525" s="682"/>
      <c r="X525" s="682"/>
      <c r="Y525" s="682"/>
      <c r="Z525" s="682"/>
      <c r="AA525" s="682"/>
      <c r="AB525" s="682"/>
      <c r="AC525" s="682"/>
      <c r="AD525" s="682"/>
      <c r="AE525" s="682"/>
    </row>
    <row r="526" ht="14.25" customHeight="1">
      <c r="A526" s="702"/>
    </row>
    <row r="527" ht="14.25" customHeight="1">
      <c r="A527" s="702"/>
    </row>
    <row r="528" ht="14.25" customHeight="1">
      <c r="A528" s="702"/>
    </row>
    <row r="529" ht="14.25" customHeight="1">
      <c r="A529" s="727" t="s">
        <v>716</v>
      </c>
      <c r="B529" s="734">
        <v>44370.0</v>
      </c>
      <c r="C529" s="725" t="s">
        <v>717</v>
      </c>
      <c r="D529" s="560" t="s">
        <v>40</v>
      </c>
      <c r="E529" s="560" t="s">
        <v>2905</v>
      </c>
      <c r="F529" s="560" t="s">
        <v>719</v>
      </c>
      <c r="G529" s="560" t="s">
        <v>2906</v>
      </c>
      <c r="H529" s="560"/>
      <c r="I529" s="560" t="s">
        <v>225</v>
      </c>
      <c r="J529" s="682"/>
      <c r="K529" s="682"/>
      <c r="L529" s="682"/>
      <c r="M529" s="682"/>
      <c r="N529" s="682"/>
      <c r="O529" s="682"/>
      <c r="P529" s="682"/>
      <c r="Q529" s="682"/>
      <c r="R529" s="682"/>
      <c r="S529" s="682"/>
      <c r="T529" s="682"/>
      <c r="U529" s="682"/>
      <c r="V529" s="682"/>
      <c r="W529" s="682"/>
      <c r="X529" s="682"/>
      <c r="Y529" s="682"/>
      <c r="Z529" s="682"/>
      <c r="AA529" s="682"/>
      <c r="AB529" s="682"/>
      <c r="AC529" s="682"/>
      <c r="AD529" s="682"/>
      <c r="AE529" s="682"/>
    </row>
    <row r="530" ht="14.25" customHeight="1">
      <c r="A530" s="702"/>
    </row>
    <row r="531" ht="14.25" customHeight="1">
      <c r="A531" s="702"/>
    </row>
    <row r="532" ht="14.25" customHeight="1">
      <c r="A532" s="702"/>
    </row>
    <row r="533" ht="14.25" customHeight="1">
      <c r="A533" s="727" t="s">
        <v>721</v>
      </c>
      <c r="B533" s="734">
        <v>44376.0</v>
      </c>
      <c r="C533" s="747" t="s">
        <v>722</v>
      </c>
      <c r="D533" s="560" t="s">
        <v>706</v>
      </c>
      <c r="E533" s="682"/>
      <c r="F533" s="560" t="s">
        <v>386</v>
      </c>
      <c r="G533" s="560" t="s">
        <v>723</v>
      </c>
      <c r="H533" s="560"/>
      <c r="I533" s="560" t="s">
        <v>225</v>
      </c>
      <c r="J533" s="682"/>
      <c r="K533" s="682" t="s">
        <v>724</v>
      </c>
      <c r="L533" s="682"/>
      <c r="M533" s="682"/>
      <c r="N533" s="682"/>
      <c r="O533" s="682"/>
      <c r="P533" s="682"/>
      <c r="Q533" s="682"/>
      <c r="R533" s="682"/>
      <c r="S533" s="682"/>
      <c r="T533" s="682"/>
      <c r="U533" s="682"/>
      <c r="V533" s="682"/>
      <c r="W533" s="682"/>
      <c r="X533" s="682"/>
      <c r="Y533" s="682"/>
      <c r="Z533" s="682"/>
      <c r="AA533" s="682"/>
      <c r="AB533" s="682"/>
      <c r="AC533" s="682"/>
      <c r="AD533" s="682"/>
      <c r="AE533" s="682"/>
    </row>
    <row r="534" ht="14.25" customHeight="1">
      <c r="A534" s="702"/>
      <c r="C534" s="748" t="s">
        <v>725</v>
      </c>
      <c r="H534" s="390"/>
      <c r="I534" s="390"/>
      <c r="K534" s="304" t="s">
        <v>726</v>
      </c>
    </row>
    <row r="535" ht="14.25" customHeight="1">
      <c r="A535" s="702"/>
      <c r="H535" s="390"/>
      <c r="I535" s="390"/>
    </row>
    <row r="536" ht="14.25" customHeight="1">
      <c r="A536" s="702"/>
      <c r="H536" s="390"/>
      <c r="I536" s="390"/>
    </row>
    <row r="537" ht="14.25" customHeight="1">
      <c r="A537" s="727" t="s">
        <v>727</v>
      </c>
      <c r="B537" s="734">
        <v>44376.0</v>
      </c>
      <c r="C537" s="747" t="s">
        <v>728</v>
      </c>
      <c r="D537" s="560" t="s">
        <v>706</v>
      </c>
      <c r="E537" s="560" t="s">
        <v>729</v>
      </c>
      <c r="F537" s="560" t="s">
        <v>386</v>
      </c>
      <c r="G537" s="560" t="s">
        <v>723</v>
      </c>
      <c r="H537" s="560"/>
      <c r="I537" s="560" t="s">
        <v>225</v>
      </c>
      <c r="J537" s="682"/>
      <c r="K537" s="682"/>
      <c r="L537" s="682"/>
      <c r="M537" s="682"/>
      <c r="N537" s="682"/>
      <c r="O537" s="682"/>
      <c r="P537" s="682"/>
      <c r="Q537" s="682"/>
      <c r="R537" s="682"/>
      <c r="S537" s="682"/>
      <c r="T537" s="682"/>
      <c r="U537" s="682"/>
      <c r="V537" s="682"/>
      <c r="W537" s="682"/>
      <c r="X537" s="682"/>
      <c r="Y537" s="682"/>
      <c r="Z537" s="682"/>
      <c r="AA537" s="682"/>
      <c r="AB537" s="682"/>
      <c r="AC537" s="682"/>
      <c r="AD537" s="682"/>
      <c r="AE537" s="682"/>
    </row>
    <row r="538" ht="14.25" customHeight="1">
      <c r="A538" s="702"/>
      <c r="C538" s="390" t="s">
        <v>730</v>
      </c>
      <c r="F538" s="390" t="s">
        <v>731</v>
      </c>
    </row>
    <row r="539" ht="14.25" customHeight="1">
      <c r="A539" s="702"/>
    </row>
    <row r="540" ht="14.25" customHeight="1">
      <c r="A540" s="702"/>
    </row>
    <row r="541" ht="14.25" customHeight="1">
      <c r="A541" s="727" t="s">
        <v>732</v>
      </c>
      <c r="B541" s="734">
        <v>44377.0</v>
      </c>
      <c r="C541" s="749" t="s">
        <v>733</v>
      </c>
      <c r="D541" s="560" t="s">
        <v>40</v>
      </c>
      <c r="E541" s="682"/>
      <c r="F541" s="560" t="s">
        <v>735</v>
      </c>
      <c r="G541" s="560" t="s">
        <v>736</v>
      </c>
      <c r="H541" s="560"/>
      <c r="I541" s="560" t="s">
        <v>22</v>
      </c>
      <c r="J541" s="682"/>
      <c r="K541" s="682"/>
      <c r="L541" s="682"/>
      <c r="M541" s="682"/>
      <c r="N541" s="682"/>
      <c r="O541" s="682"/>
      <c r="P541" s="682"/>
      <c r="Q541" s="682"/>
      <c r="R541" s="682"/>
      <c r="S541" s="682"/>
      <c r="T541" s="682"/>
      <c r="U541" s="682"/>
      <c r="V541" s="682"/>
      <c r="W541" s="682"/>
      <c r="X541" s="682"/>
      <c r="Y541" s="682"/>
      <c r="Z541" s="682"/>
      <c r="AA541" s="682"/>
      <c r="AB541" s="682"/>
      <c r="AC541" s="682"/>
      <c r="AD541" s="682"/>
      <c r="AE541" s="682"/>
    </row>
    <row r="542" ht="14.25" customHeight="1">
      <c r="A542" s="702"/>
      <c r="C542" s="390" t="s">
        <v>737</v>
      </c>
    </row>
    <row r="543" ht="14.25" customHeight="1">
      <c r="A543" s="702"/>
    </row>
    <row r="544" ht="14.25" customHeight="1">
      <c r="A544" s="702"/>
    </row>
    <row r="545" ht="14.25" customHeight="1">
      <c r="A545" s="727" t="s">
        <v>738</v>
      </c>
      <c r="B545" s="734">
        <v>44378.0</v>
      </c>
      <c r="C545" s="725" t="s">
        <v>739</v>
      </c>
      <c r="D545" s="560" t="s">
        <v>40</v>
      </c>
      <c r="E545" s="682"/>
      <c r="F545" s="560" t="s">
        <v>741</v>
      </c>
      <c r="G545" s="560" t="s">
        <v>736</v>
      </c>
      <c r="H545" s="560"/>
      <c r="I545" s="560" t="s">
        <v>22</v>
      </c>
      <c r="J545" s="682"/>
      <c r="K545" s="682" t="s">
        <v>742</v>
      </c>
      <c r="L545" s="682"/>
      <c r="M545" s="682"/>
      <c r="N545" s="682"/>
      <c r="O545" s="682"/>
      <c r="P545" s="682"/>
      <c r="Q545" s="682"/>
      <c r="R545" s="682"/>
      <c r="S545" s="682"/>
      <c r="T545" s="682"/>
      <c r="U545" s="682"/>
      <c r="V545" s="682"/>
      <c r="W545" s="682"/>
      <c r="X545" s="682"/>
      <c r="Y545" s="682"/>
      <c r="Z545" s="682"/>
      <c r="AA545" s="682"/>
      <c r="AB545" s="682"/>
      <c r="AC545" s="682"/>
      <c r="AD545" s="682"/>
      <c r="AE545" s="682"/>
    </row>
    <row r="546" ht="14.25" customHeight="1">
      <c r="A546" s="702"/>
      <c r="C546" s="390" t="s">
        <v>400</v>
      </c>
    </row>
    <row r="547" ht="14.25" customHeight="1">
      <c r="A547" s="702"/>
    </row>
    <row r="548" ht="14.25" customHeight="1">
      <c r="A548" s="702"/>
    </row>
    <row r="549" ht="14.25" customHeight="1">
      <c r="A549" s="727" t="s">
        <v>743</v>
      </c>
      <c r="B549" s="734">
        <v>44379.0</v>
      </c>
      <c r="C549" s="725" t="s">
        <v>744</v>
      </c>
      <c r="D549" s="560" t="s">
        <v>40</v>
      </c>
      <c r="E549" s="560">
        <v>13589.0</v>
      </c>
      <c r="F549" s="560" t="s">
        <v>58</v>
      </c>
      <c r="G549" s="682"/>
      <c r="H549" s="560"/>
      <c r="I549" s="560" t="s">
        <v>22</v>
      </c>
      <c r="J549" s="682"/>
      <c r="K549" s="682" t="s">
        <v>746</v>
      </c>
      <c r="L549" s="682"/>
      <c r="M549" s="682"/>
      <c r="N549" s="682"/>
      <c r="O549" s="682"/>
      <c r="P549" s="682"/>
      <c r="Q549" s="682"/>
      <c r="R549" s="682"/>
      <c r="S549" s="682"/>
      <c r="T549" s="682"/>
      <c r="U549" s="682"/>
      <c r="V549" s="682"/>
      <c r="W549" s="682"/>
      <c r="X549" s="682"/>
      <c r="Y549" s="682"/>
      <c r="Z549" s="682"/>
      <c r="AA549" s="682"/>
      <c r="AB549" s="682"/>
      <c r="AC549" s="682"/>
      <c r="AD549" s="682"/>
      <c r="AE549" s="682"/>
    </row>
    <row r="550" ht="14.25" customHeight="1">
      <c r="A550" s="702"/>
      <c r="F550" s="390" t="s">
        <v>20</v>
      </c>
    </row>
    <row r="551" ht="14.25" customHeight="1">
      <c r="A551" s="702"/>
    </row>
    <row r="552" ht="14.25" customHeight="1">
      <c r="A552" s="702"/>
      <c r="B552" s="390"/>
    </row>
    <row r="553" ht="14.25" customHeight="1">
      <c r="A553" s="727" t="s">
        <v>747</v>
      </c>
      <c r="B553" s="734">
        <v>44384.0</v>
      </c>
      <c r="C553" s="747" t="s">
        <v>748</v>
      </c>
      <c r="D553" s="560" t="s">
        <v>706</v>
      </c>
      <c r="E553" s="238">
        <v>2.0113997E7</v>
      </c>
      <c r="F553" s="560" t="s">
        <v>386</v>
      </c>
      <c r="G553" s="682"/>
      <c r="H553" s="560"/>
      <c r="I553" s="560" t="s">
        <v>22</v>
      </c>
      <c r="J553" s="682" t="s">
        <v>468</v>
      </c>
      <c r="K553" s="682" t="s">
        <v>724</v>
      </c>
      <c r="L553" s="682"/>
      <c r="M553" s="682"/>
      <c r="N553" s="682"/>
      <c r="O553" s="682"/>
      <c r="P553" s="682"/>
      <c r="Q553" s="682"/>
      <c r="R553" s="682"/>
      <c r="S553" s="682"/>
      <c r="T553" s="682"/>
      <c r="U553" s="682"/>
      <c r="V553" s="682"/>
      <c r="W553" s="682"/>
      <c r="X553" s="682"/>
      <c r="Y553" s="682"/>
      <c r="Z553" s="682"/>
      <c r="AA553" s="682"/>
      <c r="AB553" s="682"/>
      <c r="AC553" s="682"/>
      <c r="AD553" s="682"/>
      <c r="AE553" s="682"/>
    </row>
    <row r="554" ht="14.25" customHeight="1">
      <c r="A554" s="702"/>
      <c r="B554" s="390"/>
      <c r="C554" s="390" t="s">
        <v>749</v>
      </c>
    </row>
    <row r="555" ht="14.25" customHeight="1">
      <c r="A555" s="702"/>
      <c r="B555" s="390"/>
    </row>
    <row r="556" ht="14.25" customHeight="1">
      <c r="A556" s="702"/>
      <c r="B556" s="390"/>
      <c r="F556" s="390"/>
    </row>
    <row r="557" ht="14.25" customHeight="1">
      <c r="A557" s="727" t="s">
        <v>750</v>
      </c>
      <c r="B557" s="734">
        <v>44385.0</v>
      </c>
      <c r="C557" s="725" t="s">
        <v>710</v>
      </c>
      <c r="D557" s="682" t="s">
        <v>373</v>
      </c>
      <c r="E557" s="682"/>
      <c r="F557" s="560" t="s">
        <v>696</v>
      </c>
      <c r="G557" s="682"/>
      <c r="H557" s="560"/>
      <c r="I557" s="560" t="s">
        <v>22</v>
      </c>
      <c r="J557" s="682"/>
      <c r="K557" s="682"/>
      <c r="L557" s="682"/>
      <c r="M557" s="682"/>
      <c r="N557" s="682"/>
      <c r="O557" s="682"/>
      <c r="P557" s="682"/>
      <c r="Q557" s="682"/>
      <c r="R557" s="682"/>
      <c r="S557" s="682"/>
      <c r="T557" s="682"/>
      <c r="U557" s="682"/>
      <c r="V557" s="682"/>
      <c r="W557" s="682"/>
      <c r="X557" s="682"/>
      <c r="Y557" s="682"/>
      <c r="Z557" s="682"/>
      <c r="AA557" s="682"/>
      <c r="AB557" s="682"/>
      <c r="AC557" s="682"/>
      <c r="AD557" s="682"/>
      <c r="AE557" s="682"/>
    </row>
    <row r="558" ht="14.25" customHeight="1">
      <c r="A558" s="702"/>
    </row>
    <row r="559" ht="14.25" customHeight="1">
      <c r="A559" s="702"/>
    </row>
    <row r="560" ht="14.25" customHeight="1">
      <c r="A560" s="702"/>
    </row>
    <row r="561" ht="14.25" customHeight="1">
      <c r="A561" s="727" t="s">
        <v>751</v>
      </c>
      <c r="B561" s="734">
        <v>44385.0</v>
      </c>
      <c r="C561" s="725" t="s">
        <v>752</v>
      </c>
      <c r="D561" s="560" t="s">
        <v>753</v>
      </c>
      <c r="E561" s="682"/>
      <c r="F561" s="560" t="s">
        <v>696</v>
      </c>
      <c r="G561" s="682"/>
      <c r="H561" s="560"/>
      <c r="I561" s="560" t="s">
        <v>22</v>
      </c>
      <c r="J561" s="682"/>
      <c r="K561" s="682" t="s">
        <v>754</v>
      </c>
      <c r="L561" s="682"/>
      <c r="M561" s="682"/>
      <c r="N561" s="682"/>
      <c r="O561" s="682"/>
      <c r="P561" s="682"/>
      <c r="Q561" s="682"/>
      <c r="R561" s="682"/>
      <c r="S561" s="682"/>
      <c r="T561" s="682"/>
      <c r="U561" s="682"/>
      <c r="V561" s="682"/>
      <c r="W561" s="682"/>
      <c r="X561" s="682"/>
      <c r="Y561" s="682"/>
      <c r="Z561" s="682"/>
      <c r="AA561" s="682"/>
      <c r="AB561" s="682"/>
      <c r="AC561" s="682"/>
      <c r="AD561" s="682"/>
      <c r="AE561" s="682"/>
    </row>
    <row r="562" ht="14.25" customHeight="1">
      <c r="A562" s="702"/>
    </row>
    <row r="563" ht="14.25" customHeight="1">
      <c r="A563" s="702"/>
    </row>
    <row r="564" ht="14.25" customHeight="1">
      <c r="A564" s="702"/>
    </row>
    <row r="565" ht="14.25" customHeight="1">
      <c r="A565" s="727" t="s">
        <v>755</v>
      </c>
      <c r="B565" s="734">
        <v>44385.0</v>
      </c>
      <c r="C565" s="725" t="s">
        <v>756</v>
      </c>
      <c r="D565" s="560" t="s">
        <v>753</v>
      </c>
      <c r="E565" s="682"/>
      <c r="F565" s="560" t="s">
        <v>696</v>
      </c>
      <c r="G565" s="682"/>
      <c r="H565" s="560"/>
      <c r="I565" s="560" t="s">
        <v>22</v>
      </c>
      <c r="J565" s="682"/>
      <c r="K565" s="682" t="s">
        <v>754</v>
      </c>
      <c r="L565" s="682"/>
      <c r="M565" s="682"/>
      <c r="N565" s="682"/>
      <c r="O565" s="682"/>
      <c r="P565" s="682"/>
      <c r="Q565" s="682"/>
      <c r="R565" s="682"/>
      <c r="S565" s="682"/>
      <c r="T565" s="682"/>
      <c r="U565" s="682"/>
      <c r="V565" s="682"/>
      <c r="W565" s="682"/>
      <c r="X565" s="682"/>
      <c r="Y565" s="682"/>
      <c r="Z565" s="682"/>
      <c r="AA565" s="682"/>
      <c r="AB565" s="682"/>
      <c r="AC565" s="682"/>
      <c r="AD565" s="682"/>
      <c r="AE565" s="682"/>
    </row>
    <row r="566" ht="14.25" customHeight="1">
      <c r="A566" s="702"/>
    </row>
    <row r="567" ht="14.25" customHeight="1">
      <c r="A567" s="702"/>
    </row>
    <row r="568" ht="14.25" customHeight="1">
      <c r="A568" s="702"/>
    </row>
    <row r="569" ht="14.25" customHeight="1">
      <c r="A569" s="727" t="s">
        <v>757</v>
      </c>
      <c r="B569" s="734">
        <v>44390.0</v>
      </c>
      <c r="C569" s="747" t="s">
        <v>758</v>
      </c>
      <c r="D569" s="560" t="s">
        <v>706</v>
      </c>
      <c r="E569" s="560" t="s">
        <v>759</v>
      </c>
      <c r="F569" s="560" t="s">
        <v>386</v>
      </c>
      <c r="G569" s="560" t="s">
        <v>242</v>
      </c>
      <c r="H569" s="560"/>
      <c r="I569" s="560" t="s">
        <v>225</v>
      </c>
      <c r="J569" s="682" t="s">
        <v>768</v>
      </c>
      <c r="K569" s="682"/>
      <c r="L569" s="682"/>
      <c r="M569" s="682"/>
      <c r="N569" s="682"/>
      <c r="O569" s="682"/>
      <c r="P569" s="682"/>
      <c r="Q569" s="682"/>
      <c r="R569" s="682"/>
      <c r="S569" s="682"/>
      <c r="T569" s="682"/>
      <c r="U569" s="682"/>
      <c r="V569" s="682"/>
      <c r="W569" s="682"/>
      <c r="X569" s="682"/>
      <c r="Y569" s="682"/>
      <c r="Z569" s="682"/>
      <c r="AA569" s="682"/>
      <c r="AB569" s="682"/>
      <c r="AC569" s="682"/>
      <c r="AD569" s="682"/>
      <c r="AE569" s="682"/>
    </row>
    <row r="570" ht="14.25" customHeight="1">
      <c r="A570" s="729"/>
      <c r="B570" s="313"/>
      <c r="G570" s="390" t="s">
        <v>723</v>
      </c>
    </row>
    <row r="571" ht="14.25" customHeight="1">
      <c r="A571" s="729"/>
      <c r="B571" s="313"/>
    </row>
    <row r="572" ht="14.25" customHeight="1">
      <c r="A572" s="729"/>
      <c r="B572" s="313"/>
    </row>
    <row r="573" ht="14.25" customHeight="1">
      <c r="A573" s="727" t="s">
        <v>764</v>
      </c>
      <c r="B573" s="734">
        <v>44390.0</v>
      </c>
      <c r="C573" s="747" t="s">
        <v>765</v>
      </c>
      <c r="D573" s="560" t="s">
        <v>766</v>
      </c>
      <c r="E573" s="682"/>
      <c r="F573" s="560" t="s">
        <v>430</v>
      </c>
      <c r="G573" s="560" t="s">
        <v>242</v>
      </c>
      <c r="H573" s="560"/>
      <c r="I573" s="560" t="s">
        <v>225</v>
      </c>
      <c r="J573" s="682" t="s">
        <v>768</v>
      </c>
      <c r="K573" s="682"/>
      <c r="L573" s="682"/>
      <c r="M573" s="682"/>
      <c r="N573" s="682"/>
      <c r="O573" s="682"/>
      <c r="P573" s="682"/>
      <c r="Q573" s="682"/>
      <c r="R573" s="682"/>
      <c r="S573" s="682"/>
      <c r="T573" s="682"/>
      <c r="U573" s="682"/>
      <c r="V573" s="682"/>
      <c r="W573" s="682"/>
      <c r="X573" s="682"/>
      <c r="Y573" s="682"/>
      <c r="Z573" s="682"/>
      <c r="AA573" s="682"/>
      <c r="AB573" s="682"/>
      <c r="AC573" s="682"/>
      <c r="AD573" s="682"/>
      <c r="AE573" s="682"/>
    </row>
    <row r="574" ht="14.25" customHeight="1">
      <c r="A574" s="702"/>
      <c r="C574" s="390" t="s">
        <v>769</v>
      </c>
      <c r="G574" s="390" t="s">
        <v>723</v>
      </c>
    </row>
    <row r="575" ht="14.25" customHeight="1">
      <c r="A575" s="702"/>
    </row>
    <row r="576" ht="14.25" customHeight="1">
      <c r="A576" s="750"/>
    </row>
    <row r="577" ht="14.25" customHeight="1">
      <c r="A577" s="727" t="s">
        <v>770</v>
      </c>
      <c r="B577" s="734">
        <v>44393.0</v>
      </c>
      <c r="C577" s="751" t="s">
        <v>771</v>
      </c>
      <c r="D577" s="560" t="s">
        <v>772</v>
      </c>
      <c r="E577" s="682"/>
      <c r="F577" s="560" t="s">
        <v>774</v>
      </c>
      <c r="G577" s="560" t="s">
        <v>242</v>
      </c>
      <c r="H577" s="682"/>
      <c r="I577" s="682"/>
      <c r="J577" s="682" t="s">
        <v>775</v>
      </c>
      <c r="K577" s="682"/>
      <c r="L577" s="682"/>
      <c r="M577" s="682"/>
      <c r="N577" s="682"/>
      <c r="O577" s="682"/>
      <c r="P577" s="682"/>
      <c r="Q577" s="682"/>
      <c r="R577" s="682"/>
      <c r="S577" s="682"/>
      <c r="T577" s="682"/>
      <c r="U577" s="682"/>
      <c r="V577" s="682"/>
      <c r="W577" s="682"/>
      <c r="X577" s="682"/>
      <c r="Y577" s="682"/>
      <c r="Z577" s="682"/>
      <c r="AA577" s="682"/>
      <c r="AB577" s="682"/>
      <c r="AC577" s="682"/>
      <c r="AD577" s="682"/>
      <c r="AE577" s="682"/>
    </row>
    <row r="578" ht="14.25" customHeight="1">
      <c r="A578" s="750"/>
      <c r="B578" s="313"/>
      <c r="G578" s="390" t="s">
        <v>723</v>
      </c>
    </row>
    <row r="579" ht="14.25" customHeight="1">
      <c r="A579" s="750"/>
      <c r="B579" s="313"/>
    </row>
    <row r="580" ht="14.25" customHeight="1">
      <c r="A580" s="750"/>
      <c r="B580" s="313"/>
    </row>
    <row r="581" ht="14.25" customHeight="1">
      <c r="A581" s="727" t="s">
        <v>776</v>
      </c>
      <c r="B581" s="734">
        <v>44393.0</v>
      </c>
      <c r="C581" s="725" t="s">
        <v>96</v>
      </c>
      <c r="D581" s="560" t="s">
        <v>772</v>
      </c>
      <c r="E581" s="560">
        <v>2.9320182E7</v>
      </c>
      <c r="F581" s="560" t="s">
        <v>386</v>
      </c>
      <c r="G581" s="560" t="s">
        <v>242</v>
      </c>
      <c r="H581" s="682"/>
      <c r="I581" s="682"/>
      <c r="J581" s="682" t="s">
        <v>778</v>
      </c>
      <c r="K581" s="682"/>
      <c r="L581" s="682"/>
      <c r="M581" s="682"/>
      <c r="N581" s="682"/>
      <c r="O581" s="682"/>
      <c r="P581" s="682"/>
      <c r="Q581" s="682"/>
      <c r="R581" s="682"/>
      <c r="S581" s="682"/>
      <c r="T581" s="682"/>
      <c r="U581" s="682"/>
      <c r="V581" s="682"/>
      <c r="W581" s="682"/>
      <c r="X581" s="682"/>
      <c r="Y581" s="682"/>
      <c r="Z581" s="682"/>
      <c r="AA581" s="682"/>
      <c r="AB581" s="682"/>
      <c r="AC581" s="682"/>
      <c r="AD581" s="682"/>
      <c r="AE581" s="682"/>
    </row>
    <row r="582" ht="14.25" customHeight="1">
      <c r="A582" s="750"/>
      <c r="G582" s="390" t="s">
        <v>779</v>
      </c>
    </row>
    <row r="583" ht="14.25" customHeight="1">
      <c r="A583" s="750"/>
    </row>
    <row r="584" ht="14.25" customHeight="1">
      <c r="A584" s="729"/>
    </row>
    <row r="585" ht="14.25" customHeight="1">
      <c r="A585" s="727" t="s">
        <v>780</v>
      </c>
      <c r="B585" s="734">
        <v>44278.0</v>
      </c>
      <c r="C585" s="725" t="s">
        <v>613</v>
      </c>
      <c r="D585" s="682" t="s">
        <v>614</v>
      </c>
      <c r="E585" s="682"/>
      <c r="F585" s="560" t="s">
        <v>516</v>
      </c>
      <c r="G585" s="682"/>
      <c r="H585" s="560"/>
      <c r="I585" s="560" t="s">
        <v>22</v>
      </c>
      <c r="J585" s="682"/>
      <c r="K585" s="682"/>
      <c r="L585" s="682"/>
      <c r="M585" s="682"/>
      <c r="N585" s="682"/>
      <c r="O585" s="682"/>
      <c r="P585" s="682"/>
      <c r="Q585" s="682"/>
      <c r="R585" s="682"/>
      <c r="S585" s="682"/>
      <c r="T585" s="682"/>
      <c r="U585" s="682"/>
      <c r="V585" s="682"/>
      <c r="W585" s="682"/>
      <c r="X585" s="682"/>
      <c r="Y585" s="682"/>
      <c r="Z585" s="682"/>
      <c r="AA585" s="682"/>
      <c r="AB585" s="682"/>
      <c r="AC585" s="682"/>
      <c r="AD585" s="682"/>
      <c r="AE585" s="682"/>
    </row>
    <row r="586" ht="14.25" customHeight="1">
      <c r="A586" s="729"/>
    </row>
    <row r="587" ht="14.25" customHeight="1">
      <c r="A587" s="729"/>
    </row>
    <row r="588" ht="14.25" customHeight="1">
      <c r="A588" s="729"/>
    </row>
    <row r="589" ht="14.25" customHeight="1">
      <c r="A589" s="727" t="s">
        <v>781</v>
      </c>
      <c r="B589" s="734">
        <v>44397.0</v>
      </c>
      <c r="C589" s="725" t="s">
        <v>782</v>
      </c>
      <c r="D589" s="560" t="s">
        <v>706</v>
      </c>
      <c r="E589" s="560">
        <v>2.7919533E7</v>
      </c>
      <c r="F589" s="560" t="s">
        <v>386</v>
      </c>
      <c r="G589" s="560" t="s">
        <v>242</v>
      </c>
      <c r="H589" s="682"/>
      <c r="I589" s="682"/>
      <c r="J589" s="682" t="s">
        <v>768</v>
      </c>
      <c r="K589" s="682"/>
      <c r="L589" s="682"/>
      <c r="M589" s="682"/>
      <c r="N589" s="682"/>
      <c r="O589" s="682"/>
      <c r="P589" s="682"/>
      <c r="Q589" s="682"/>
      <c r="R589" s="682"/>
      <c r="S589" s="682"/>
      <c r="T589" s="682"/>
      <c r="U589" s="682"/>
      <c r="V589" s="682"/>
      <c r="W589" s="682"/>
      <c r="X589" s="682"/>
      <c r="Y589" s="682"/>
      <c r="Z589" s="682"/>
      <c r="AA589" s="682"/>
      <c r="AB589" s="682"/>
      <c r="AC589" s="682"/>
      <c r="AD589" s="682"/>
      <c r="AE589" s="682"/>
    </row>
    <row r="590" ht="14.25" customHeight="1">
      <c r="A590" s="702"/>
      <c r="G590" s="390" t="s">
        <v>783</v>
      </c>
    </row>
    <row r="591" ht="14.25" customHeight="1">
      <c r="A591" s="702"/>
    </row>
    <row r="592" ht="14.25" customHeight="1">
      <c r="A592" s="702"/>
    </row>
    <row r="593" ht="14.25" customHeight="1">
      <c r="A593" s="727" t="s">
        <v>784</v>
      </c>
      <c r="B593" s="734">
        <v>44399.0</v>
      </c>
      <c r="C593" s="725" t="s">
        <v>785</v>
      </c>
      <c r="D593" s="560" t="s">
        <v>706</v>
      </c>
      <c r="E593" s="560">
        <v>2.7918154E7</v>
      </c>
      <c r="F593" s="560" t="s">
        <v>386</v>
      </c>
      <c r="G593" s="560" t="s">
        <v>242</v>
      </c>
      <c r="H593" s="682"/>
      <c r="I593" s="682"/>
      <c r="J593" s="682" t="s">
        <v>768</v>
      </c>
      <c r="K593" s="682"/>
      <c r="L593" s="682"/>
      <c r="M593" s="682"/>
      <c r="N593" s="682"/>
      <c r="O593" s="682"/>
      <c r="P593" s="682"/>
      <c r="Q593" s="682"/>
      <c r="R593" s="682"/>
      <c r="S593" s="682"/>
      <c r="T593" s="682"/>
      <c r="U593" s="682"/>
      <c r="V593" s="682"/>
      <c r="W593" s="682"/>
      <c r="X593" s="682"/>
      <c r="Y593" s="682"/>
      <c r="Z593" s="682"/>
      <c r="AA593" s="682"/>
      <c r="AB593" s="682"/>
      <c r="AC593" s="682"/>
      <c r="AD593" s="682"/>
      <c r="AE593" s="682"/>
    </row>
    <row r="594" ht="14.25" customHeight="1">
      <c r="A594" s="702"/>
      <c r="G594" s="390" t="s">
        <v>783</v>
      </c>
    </row>
    <row r="595" ht="14.25" customHeight="1">
      <c r="A595" s="702"/>
    </row>
    <row r="596" ht="14.25" customHeight="1">
      <c r="A596" s="702"/>
      <c r="E596" s="390"/>
    </row>
    <row r="597" ht="14.25" customHeight="1">
      <c r="A597" s="727" t="s">
        <v>786</v>
      </c>
      <c r="B597" s="734">
        <v>44404.0</v>
      </c>
      <c r="C597" s="752" t="s">
        <v>787</v>
      </c>
      <c r="D597" s="560" t="s">
        <v>706</v>
      </c>
      <c r="E597" s="560" t="s">
        <v>788</v>
      </c>
      <c r="F597" s="560" t="s">
        <v>386</v>
      </c>
      <c r="G597" s="560" t="s">
        <v>242</v>
      </c>
      <c r="H597" s="682"/>
      <c r="I597" s="682"/>
      <c r="J597" s="682" t="s">
        <v>789</v>
      </c>
      <c r="K597" s="682"/>
      <c r="L597" s="682"/>
      <c r="M597" s="682"/>
      <c r="N597" s="682"/>
      <c r="O597" s="682"/>
      <c r="P597" s="682"/>
      <c r="Q597" s="682"/>
      <c r="R597" s="682"/>
      <c r="S597" s="682"/>
      <c r="T597" s="682"/>
      <c r="U597" s="682"/>
      <c r="V597" s="682"/>
      <c r="W597" s="682"/>
      <c r="X597" s="682"/>
      <c r="Y597" s="682"/>
      <c r="Z597" s="682"/>
      <c r="AA597" s="682"/>
      <c r="AB597" s="682"/>
      <c r="AC597" s="682"/>
      <c r="AD597" s="682"/>
      <c r="AE597" s="682"/>
    </row>
    <row r="598" ht="14.25" customHeight="1">
      <c r="A598" s="702"/>
      <c r="C598" s="390" t="s">
        <v>790</v>
      </c>
      <c r="G598" s="390" t="s">
        <v>783</v>
      </c>
    </row>
    <row r="599" ht="14.25" customHeight="1">
      <c r="A599" s="702"/>
    </row>
    <row r="600" ht="14.25" customHeight="1">
      <c r="A600" s="702"/>
    </row>
    <row r="601" ht="14.25" customHeight="1">
      <c r="A601" s="727" t="s">
        <v>791</v>
      </c>
      <c r="B601" s="734">
        <v>44406.0</v>
      </c>
      <c r="C601" s="725" t="s">
        <v>792</v>
      </c>
      <c r="D601" s="560" t="s">
        <v>406</v>
      </c>
      <c r="E601" s="560"/>
      <c r="F601" s="560" t="s">
        <v>386</v>
      </c>
      <c r="G601" s="560" t="s">
        <v>242</v>
      </c>
      <c r="H601" s="682"/>
      <c r="I601" s="682"/>
      <c r="J601" s="682" t="s">
        <v>775</v>
      </c>
      <c r="K601" s="682"/>
      <c r="L601" s="682"/>
      <c r="M601" s="682"/>
      <c r="N601" s="682"/>
      <c r="O601" s="682"/>
      <c r="P601" s="682"/>
      <c r="Q601" s="682"/>
      <c r="R601" s="682"/>
      <c r="S601" s="682"/>
      <c r="T601" s="682"/>
      <c r="U601" s="682"/>
      <c r="V601" s="682"/>
      <c r="W601" s="682"/>
      <c r="X601" s="682"/>
      <c r="Y601" s="682"/>
      <c r="Z601" s="682"/>
      <c r="AA601" s="682"/>
      <c r="AB601" s="682"/>
      <c r="AC601" s="682"/>
      <c r="AD601" s="682"/>
      <c r="AE601" s="682"/>
    </row>
    <row r="602" ht="14.25" customHeight="1">
      <c r="A602" s="702"/>
      <c r="G602" s="390" t="s">
        <v>783</v>
      </c>
    </row>
    <row r="603" ht="14.25" customHeight="1">
      <c r="A603" s="702"/>
    </row>
    <row r="604" ht="14.25" customHeight="1">
      <c r="A604" s="702"/>
      <c r="F604" s="390"/>
    </row>
    <row r="605" ht="14.25" customHeight="1">
      <c r="A605" s="727" t="s">
        <v>793</v>
      </c>
      <c r="B605" s="734">
        <v>44406.0</v>
      </c>
      <c r="C605" s="725" t="s">
        <v>514</v>
      </c>
      <c r="D605" s="560" t="s">
        <v>406</v>
      </c>
      <c r="E605" s="560" t="s">
        <v>794</v>
      </c>
      <c r="F605" s="560" t="s">
        <v>386</v>
      </c>
      <c r="G605" s="560" t="s">
        <v>242</v>
      </c>
      <c r="H605" s="682"/>
      <c r="I605" s="682"/>
      <c r="J605" s="682" t="s">
        <v>775</v>
      </c>
      <c r="K605" s="682"/>
      <c r="L605" s="682"/>
      <c r="M605" s="682"/>
      <c r="N605" s="682"/>
      <c r="O605" s="682"/>
      <c r="P605" s="682"/>
      <c r="Q605" s="682"/>
      <c r="R605" s="682"/>
      <c r="S605" s="682"/>
      <c r="T605" s="682"/>
      <c r="U605" s="682"/>
      <c r="V605" s="682"/>
      <c r="W605" s="682"/>
      <c r="X605" s="682"/>
      <c r="Y605" s="682"/>
      <c r="Z605" s="682"/>
      <c r="AA605" s="682"/>
      <c r="AB605" s="682"/>
      <c r="AC605" s="682"/>
      <c r="AD605" s="682"/>
      <c r="AE605" s="682"/>
    </row>
    <row r="606" ht="14.25" customHeight="1">
      <c r="A606" s="729"/>
      <c r="G606" s="390" t="s">
        <v>783</v>
      </c>
    </row>
    <row r="607" ht="14.25" customHeight="1">
      <c r="A607" s="729"/>
    </row>
    <row r="608" ht="14.25" customHeight="1">
      <c r="A608" s="729"/>
    </row>
    <row r="609" ht="14.25" customHeight="1">
      <c r="A609" s="727" t="s">
        <v>795</v>
      </c>
      <c r="B609" s="734">
        <v>44406.0</v>
      </c>
      <c r="C609" s="747" t="s">
        <v>796</v>
      </c>
      <c r="D609" s="560" t="s">
        <v>706</v>
      </c>
      <c r="E609" s="560" t="s">
        <v>797</v>
      </c>
      <c r="F609" s="560" t="s">
        <v>798</v>
      </c>
      <c r="G609" s="560" t="s">
        <v>242</v>
      </c>
      <c r="H609" s="682"/>
      <c r="I609" s="682"/>
      <c r="J609" s="682" t="s">
        <v>799</v>
      </c>
      <c r="K609" s="682" t="s">
        <v>800</v>
      </c>
      <c r="L609" s="682"/>
      <c r="M609" s="682"/>
      <c r="N609" s="682"/>
      <c r="O609" s="682"/>
      <c r="P609" s="682"/>
      <c r="Q609" s="682"/>
      <c r="R609" s="682"/>
      <c r="S609" s="682"/>
      <c r="T609" s="682"/>
      <c r="U609" s="682"/>
      <c r="V609" s="682"/>
      <c r="W609" s="682"/>
      <c r="X609" s="682"/>
      <c r="Y609" s="682"/>
      <c r="Z609" s="682"/>
      <c r="AA609" s="682"/>
      <c r="AB609" s="682"/>
      <c r="AC609" s="682"/>
      <c r="AD609" s="682"/>
      <c r="AE609" s="682"/>
    </row>
    <row r="610" ht="14.25" customHeight="1">
      <c r="A610" s="702"/>
      <c r="G610" s="390" t="s">
        <v>801</v>
      </c>
    </row>
    <row r="611" ht="14.25" customHeight="1">
      <c r="A611" s="702"/>
    </row>
    <row r="612" ht="14.25" customHeight="1">
      <c r="A612" s="702"/>
    </row>
    <row r="613" ht="14.25" customHeight="1">
      <c r="A613" s="727" t="s">
        <v>802</v>
      </c>
      <c r="B613" s="734">
        <v>44411.0</v>
      </c>
      <c r="C613" s="725" t="s">
        <v>803</v>
      </c>
      <c r="D613" s="560" t="s">
        <v>804</v>
      </c>
      <c r="E613" s="560" t="s">
        <v>805</v>
      </c>
      <c r="F613" s="560" t="s">
        <v>806</v>
      </c>
      <c r="G613" s="560" t="s">
        <v>242</v>
      </c>
      <c r="H613" s="560"/>
      <c r="I613" s="560" t="s">
        <v>668</v>
      </c>
      <c r="J613" s="304" t="s">
        <v>807</v>
      </c>
    </row>
    <row r="614" ht="14.25" customHeight="1">
      <c r="A614" s="702"/>
      <c r="G614" s="390" t="s">
        <v>808</v>
      </c>
    </row>
    <row r="615" ht="14.25" customHeight="1">
      <c r="A615" s="702"/>
    </row>
    <row r="616" ht="14.25" customHeight="1">
      <c r="A616" s="702"/>
    </row>
    <row r="617" ht="14.25" customHeight="1">
      <c r="A617" s="727" t="s">
        <v>809</v>
      </c>
      <c r="B617" s="734">
        <v>40400.0</v>
      </c>
      <c r="C617" s="725" t="s">
        <v>810</v>
      </c>
      <c r="D617" s="560" t="s">
        <v>40</v>
      </c>
      <c r="E617" s="560" t="s">
        <v>2907</v>
      </c>
      <c r="F617" s="560" t="s">
        <v>99</v>
      </c>
      <c r="G617" s="560" t="s">
        <v>242</v>
      </c>
      <c r="H617" s="560"/>
      <c r="I617" s="560" t="s">
        <v>668</v>
      </c>
      <c r="J617" s="682" t="s">
        <v>812</v>
      </c>
      <c r="K617" s="682"/>
      <c r="L617" s="682"/>
      <c r="M617" s="682"/>
      <c r="N617" s="682"/>
      <c r="O617" s="682"/>
      <c r="P617" s="682"/>
      <c r="Q617" s="682"/>
      <c r="R617" s="682"/>
      <c r="S617" s="682"/>
      <c r="T617" s="682"/>
      <c r="U617" s="682"/>
      <c r="V617" s="682"/>
      <c r="W617" s="682"/>
      <c r="X617" s="682"/>
      <c r="Y617" s="682"/>
      <c r="Z617" s="682"/>
      <c r="AA617" s="682"/>
      <c r="AB617" s="682"/>
      <c r="AC617" s="682"/>
      <c r="AD617" s="682"/>
      <c r="AE617" s="682"/>
    </row>
    <row r="618" ht="14.25" customHeight="1">
      <c r="A618" s="702"/>
      <c r="F618" s="390"/>
      <c r="G618" s="390" t="s">
        <v>813</v>
      </c>
    </row>
    <row r="619" ht="14.25" customHeight="1">
      <c r="A619" s="702"/>
      <c r="F619" s="390"/>
    </row>
    <row r="620" ht="14.25" customHeight="1">
      <c r="A620" s="702"/>
      <c r="F620" s="390"/>
    </row>
    <row r="621" ht="14.25" customHeight="1">
      <c r="A621" s="727" t="s">
        <v>814</v>
      </c>
      <c r="B621" s="734">
        <v>40400.0</v>
      </c>
      <c r="C621" s="725" t="s">
        <v>815</v>
      </c>
      <c r="D621" s="560" t="s">
        <v>40</v>
      </c>
      <c r="E621" s="560" t="s">
        <v>816</v>
      </c>
      <c r="F621" s="560" t="s">
        <v>99</v>
      </c>
      <c r="G621" s="560" t="s">
        <v>242</v>
      </c>
      <c r="H621" s="560"/>
      <c r="I621" s="560" t="s">
        <v>668</v>
      </c>
      <c r="J621" s="682" t="s">
        <v>817</v>
      </c>
      <c r="K621" s="682"/>
      <c r="L621" s="682"/>
      <c r="M621" s="682"/>
      <c r="N621" s="682"/>
      <c r="O621" s="682"/>
      <c r="P621" s="682"/>
      <c r="Q621" s="682"/>
      <c r="R621" s="682"/>
      <c r="S621" s="682"/>
      <c r="T621" s="682"/>
      <c r="U621" s="682"/>
      <c r="V621" s="682"/>
      <c r="W621" s="682"/>
      <c r="X621" s="682"/>
      <c r="Y621" s="682"/>
      <c r="Z621" s="682"/>
      <c r="AA621" s="682"/>
      <c r="AB621" s="682"/>
      <c r="AC621" s="682"/>
      <c r="AD621" s="682"/>
      <c r="AE621" s="682"/>
    </row>
    <row r="622" ht="14.25" customHeight="1">
      <c r="A622" s="702"/>
      <c r="G622" s="390" t="s">
        <v>818</v>
      </c>
    </row>
    <row r="623" ht="14.25" customHeight="1">
      <c r="A623" s="702"/>
    </row>
    <row r="624" ht="14.25" customHeight="1">
      <c r="A624" s="702"/>
    </row>
    <row r="625" ht="14.25" customHeight="1">
      <c r="A625" s="727" t="s">
        <v>819</v>
      </c>
      <c r="B625" s="734">
        <v>40409.0</v>
      </c>
      <c r="C625" s="725" t="s">
        <v>820</v>
      </c>
      <c r="D625" s="560" t="s">
        <v>40</v>
      </c>
      <c r="E625" s="560">
        <v>2.9435071E7</v>
      </c>
      <c r="F625" s="560" t="s">
        <v>822</v>
      </c>
      <c r="G625" s="560" t="s">
        <v>242</v>
      </c>
      <c r="H625" s="560"/>
      <c r="I625" s="560" t="s">
        <v>668</v>
      </c>
      <c r="J625" s="682" t="s">
        <v>823</v>
      </c>
      <c r="K625" s="682" t="s">
        <v>824</v>
      </c>
      <c r="L625" s="682"/>
      <c r="M625" s="682"/>
      <c r="N625" s="682"/>
      <c r="O625" s="682"/>
      <c r="P625" s="682"/>
      <c r="Q625" s="682"/>
      <c r="R625" s="682"/>
      <c r="S625" s="682"/>
      <c r="T625" s="682"/>
      <c r="U625" s="682"/>
      <c r="V625" s="682"/>
      <c r="W625" s="682"/>
      <c r="X625" s="682"/>
      <c r="Y625" s="682"/>
      <c r="Z625" s="682"/>
      <c r="AA625" s="682"/>
      <c r="AB625" s="682"/>
      <c r="AC625" s="682"/>
      <c r="AD625" s="682"/>
      <c r="AE625" s="682"/>
    </row>
    <row r="626" ht="14.25" customHeight="1">
      <c r="A626" s="702"/>
      <c r="G626" s="390" t="s">
        <v>825</v>
      </c>
      <c r="J626" s="304" t="s">
        <v>826</v>
      </c>
    </row>
    <row r="627" ht="14.25" customHeight="1">
      <c r="A627" s="702"/>
    </row>
    <row r="628" ht="14.25" customHeight="1">
      <c r="A628" s="702"/>
    </row>
    <row r="629" ht="14.25" customHeight="1">
      <c r="A629" s="727" t="s">
        <v>827</v>
      </c>
      <c r="B629" s="734">
        <v>44427.0</v>
      </c>
      <c r="C629" s="725" t="s">
        <v>828</v>
      </c>
      <c r="D629" s="560" t="s">
        <v>40</v>
      </c>
      <c r="E629" s="560">
        <v>20702.0</v>
      </c>
      <c r="F629" s="560" t="s">
        <v>822</v>
      </c>
      <c r="G629" s="560" t="s">
        <v>242</v>
      </c>
      <c r="H629" s="560"/>
      <c r="I629" s="560" t="s">
        <v>668</v>
      </c>
      <c r="J629" s="682" t="s">
        <v>829</v>
      </c>
      <c r="K629" s="682"/>
      <c r="L629" s="682"/>
      <c r="M629" s="682"/>
      <c r="N629" s="682"/>
      <c r="O629" s="682"/>
      <c r="P629" s="682"/>
      <c r="Q629" s="682"/>
      <c r="R629" s="682"/>
      <c r="S629" s="682"/>
      <c r="T629" s="682"/>
      <c r="U629" s="682"/>
      <c r="V629" s="682"/>
      <c r="W629" s="682"/>
      <c r="X629" s="682"/>
      <c r="Y629" s="682"/>
      <c r="Z629" s="682"/>
      <c r="AA629" s="682"/>
      <c r="AB629" s="682"/>
      <c r="AC629" s="682"/>
      <c r="AD629" s="682"/>
      <c r="AE629" s="682"/>
    </row>
    <row r="630" ht="14.25" customHeight="1">
      <c r="A630" s="702"/>
      <c r="G630" s="390" t="s">
        <v>825</v>
      </c>
    </row>
    <row r="631" ht="14.25" customHeight="1">
      <c r="A631" s="702"/>
    </row>
    <row r="632" ht="14.25" customHeight="1">
      <c r="A632" s="702"/>
    </row>
    <row r="633" ht="14.25" customHeight="1">
      <c r="A633" s="727" t="s">
        <v>830</v>
      </c>
      <c r="B633" s="734">
        <v>44439.0</v>
      </c>
      <c r="C633" s="725" t="s">
        <v>831</v>
      </c>
      <c r="D633" s="560" t="s">
        <v>40</v>
      </c>
      <c r="E633" s="753">
        <v>1.7968259E7</v>
      </c>
      <c r="F633" s="560" t="s">
        <v>822</v>
      </c>
      <c r="G633" s="560" t="s">
        <v>242</v>
      </c>
      <c r="H633" s="560"/>
      <c r="I633" s="560" t="s">
        <v>22</v>
      </c>
      <c r="J633" s="682" t="s">
        <v>832</v>
      </c>
      <c r="K633" s="682" t="s">
        <v>833</v>
      </c>
      <c r="L633" s="682"/>
      <c r="M633" s="682"/>
      <c r="N633" s="682"/>
      <c r="O633" s="682"/>
      <c r="P633" s="682"/>
      <c r="Q633" s="682"/>
      <c r="R633" s="682"/>
      <c r="S633" s="682"/>
      <c r="T633" s="682"/>
      <c r="U633" s="682"/>
      <c r="V633" s="682"/>
      <c r="W633" s="682"/>
      <c r="X633" s="682"/>
      <c r="Y633" s="682"/>
      <c r="Z633" s="682"/>
      <c r="AA633" s="682"/>
      <c r="AB633" s="682"/>
      <c r="AC633" s="682"/>
      <c r="AD633" s="682"/>
      <c r="AE633" s="682"/>
    </row>
    <row r="634" ht="14.25" customHeight="1">
      <c r="A634" s="702"/>
      <c r="D634" s="390"/>
      <c r="G634" s="304" t="s">
        <v>834</v>
      </c>
      <c r="J634" s="304" t="s">
        <v>835</v>
      </c>
    </row>
    <row r="635" ht="14.25" customHeight="1">
      <c r="A635" s="702"/>
      <c r="D635" s="390"/>
    </row>
    <row r="636" ht="14.25" customHeight="1">
      <c r="A636" s="702"/>
      <c r="D636" s="390"/>
    </row>
    <row r="637" ht="14.25" customHeight="1">
      <c r="A637" s="727" t="s">
        <v>836</v>
      </c>
      <c r="B637" s="734">
        <v>44439.0</v>
      </c>
      <c r="C637" s="725" t="s">
        <v>837</v>
      </c>
      <c r="D637" s="560" t="s">
        <v>838</v>
      </c>
      <c r="E637" s="560">
        <v>2.7917539E7</v>
      </c>
      <c r="F637" s="560" t="s">
        <v>58</v>
      </c>
      <c r="G637" s="560" t="s">
        <v>242</v>
      </c>
      <c r="H637" s="560"/>
      <c r="I637" s="560" t="s">
        <v>22</v>
      </c>
      <c r="J637" s="682" t="s">
        <v>839</v>
      </c>
      <c r="K637" s="682" t="s">
        <v>840</v>
      </c>
      <c r="L637" s="682"/>
      <c r="M637" s="682"/>
      <c r="N637" s="682"/>
      <c r="O637" s="682"/>
      <c r="P637" s="682"/>
      <c r="Q637" s="682"/>
      <c r="R637" s="682"/>
      <c r="S637" s="682"/>
      <c r="T637" s="682"/>
      <c r="U637" s="682"/>
      <c r="V637" s="682"/>
      <c r="W637" s="682"/>
      <c r="X637" s="682"/>
      <c r="Y637" s="682"/>
      <c r="Z637" s="682"/>
      <c r="AA637" s="682"/>
      <c r="AB637" s="682"/>
      <c r="AC637" s="682"/>
      <c r="AD637" s="682"/>
      <c r="AE637" s="682"/>
    </row>
    <row r="638" ht="14.25" customHeight="1">
      <c r="A638" s="702"/>
      <c r="G638" s="304" t="s">
        <v>834</v>
      </c>
    </row>
    <row r="639" ht="14.25" customHeight="1">
      <c r="A639" s="702"/>
    </row>
    <row r="640" ht="14.25" customHeight="1">
      <c r="A640" s="702"/>
    </row>
    <row r="641" ht="14.25" customHeight="1">
      <c r="A641" s="727" t="s">
        <v>841</v>
      </c>
      <c r="B641" s="734">
        <v>44441.0</v>
      </c>
      <c r="C641" s="725" t="s">
        <v>480</v>
      </c>
      <c r="D641" s="560" t="s">
        <v>842</v>
      </c>
      <c r="E641" s="654" t="s">
        <v>843</v>
      </c>
      <c r="F641" s="560" t="s">
        <v>58</v>
      </c>
      <c r="G641" s="560" t="s">
        <v>242</v>
      </c>
      <c r="H641" s="560"/>
      <c r="I641" s="560" t="s">
        <v>668</v>
      </c>
      <c r="J641" s="682" t="s">
        <v>844</v>
      </c>
      <c r="K641" s="682"/>
      <c r="L641" s="682"/>
    </row>
    <row r="642" ht="14.25" customHeight="1">
      <c r="A642" s="702"/>
      <c r="G642" s="390" t="s">
        <v>818</v>
      </c>
      <c r="J642" s="304" t="s">
        <v>845</v>
      </c>
    </row>
    <row r="643" ht="14.25" customHeight="1">
      <c r="A643" s="702"/>
    </row>
    <row r="644" ht="14.25" customHeight="1">
      <c r="A644" s="702"/>
    </row>
    <row r="645" ht="14.25" customHeight="1">
      <c r="A645" s="727" t="s">
        <v>846</v>
      </c>
      <c r="B645" s="734">
        <v>44446.0</v>
      </c>
      <c r="C645" s="725" t="s">
        <v>694</v>
      </c>
      <c r="D645" s="560" t="s">
        <v>706</v>
      </c>
      <c r="E645" s="654">
        <v>2.7918709E7</v>
      </c>
      <c r="F645" s="560" t="s">
        <v>58</v>
      </c>
      <c r="G645" s="560" t="s">
        <v>242</v>
      </c>
      <c r="H645" s="560"/>
      <c r="I645" s="560" t="s">
        <v>668</v>
      </c>
      <c r="J645" s="682" t="s">
        <v>847</v>
      </c>
      <c r="K645" s="682"/>
      <c r="L645" s="682"/>
      <c r="M645" s="682"/>
    </row>
    <row r="646" ht="14.25" customHeight="1">
      <c r="A646" s="702"/>
      <c r="G646" s="390" t="s">
        <v>813</v>
      </c>
      <c r="J646" s="304" t="s">
        <v>848</v>
      </c>
    </row>
    <row r="647" ht="14.25" customHeight="1">
      <c r="A647" s="702"/>
    </row>
    <row r="648" ht="14.25" customHeight="1">
      <c r="A648" s="702"/>
    </row>
    <row r="649" ht="14.25" customHeight="1">
      <c r="A649" s="727" t="s">
        <v>849</v>
      </c>
      <c r="B649" s="734">
        <v>44446.0</v>
      </c>
      <c r="C649" s="725" t="s">
        <v>850</v>
      </c>
      <c r="D649" s="560" t="s">
        <v>842</v>
      </c>
      <c r="E649" s="654" t="s">
        <v>851</v>
      </c>
      <c r="F649" s="560" t="s">
        <v>852</v>
      </c>
      <c r="G649" s="560" t="s">
        <v>242</v>
      </c>
      <c r="H649" s="560"/>
      <c r="I649" s="560" t="s">
        <v>668</v>
      </c>
      <c r="J649" s="682" t="s">
        <v>853</v>
      </c>
      <c r="K649" s="682"/>
      <c r="L649" s="682"/>
      <c r="M649" s="682"/>
    </row>
    <row r="650" ht="14.25" customHeight="1">
      <c r="A650" s="702"/>
      <c r="F650" s="390" t="s">
        <v>854</v>
      </c>
      <c r="G650" s="390" t="s">
        <v>855</v>
      </c>
    </row>
    <row r="651" ht="14.25" customHeight="1">
      <c r="A651" s="702"/>
    </row>
    <row r="652" ht="14.25" customHeight="1">
      <c r="A652" s="702"/>
    </row>
    <row r="653" ht="14.25" customHeight="1">
      <c r="A653" s="727" t="s">
        <v>856</v>
      </c>
      <c r="B653" s="734">
        <v>44447.0</v>
      </c>
      <c r="C653" s="725" t="s">
        <v>2462</v>
      </c>
      <c r="D653" s="560" t="s">
        <v>40</v>
      </c>
      <c r="E653" s="654" t="s">
        <v>858</v>
      </c>
      <c r="F653" s="560" t="s">
        <v>58</v>
      </c>
      <c r="G653" s="560" t="s">
        <v>397</v>
      </c>
      <c r="H653" s="560"/>
      <c r="I653" s="560" t="s">
        <v>225</v>
      </c>
      <c r="J653" s="682" t="s">
        <v>859</v>
      </c>
      <c r="K653" s="682" t="s">
        <v>860</v>
      </c>
      <c r="L653" s="682"/>
      <c r="M653" s="682"/>
    </row>
    <row r="654" ht="14.25" customHeight="1">
      <c r="A654" s="702"/>
      <c r="G654" s="390" t="s">
        <v>861</v>
      </c>
      <c r="J654" s="304" t="s">
        <v>862</v>
      </c>
    </row>
    <row r="655" ht="14.25" customHeight="1">
      <c r="A655" s="702"/>
    </row>
    <row r="656" ht="14.25" customHeight="1">
      <c r="A656" s="702"/>
      <c r="D656" s="390"/>
    </row>
    <row r="657" ht="14.25" customHeight="1">
      <c r="A657" s="727" t="s">
        <v>863</v>
      </c>
      <c r="B657" s="734">
        <v>44447.0</v>
      </c>
      <c r="C657" s="747" t="s">
        <v>864</v>
      </c>
      <c r="D657" s="560" t="s">
        <v>865</v>
      </c>
      <c r="E657" s="560" t="s">
        <v>866</v>
      </c>
      <c r="F657" s="560" t="s">
        <v>867</v>
      </c>
      <c r="G657" s="560" t="s">
        <v>242</v>
      </c>
      <c r="H657" s="560"/>
      <c r="I657" s="560" t="s">
        <v>668</v>
      </c>
      <c r="J657" s="682" t="s">
        <v>868</v>
      </c>
      <c r="K657" s="682"/>
      <c r="L657" s="682"/>
    </row>
    <row r="658" ht="14.25" customHeight="1">
      <c r="A658" s="702"/>
      <c r="C658" s="390"/>
      <c r="G658" s="390" t="s">
        <v>813</v>
      </c>
      <c r="J658" s="304" t="s">
        <v>869</v>
      </c>
    </row>
    <row r="659" ht="14.25" customHeight="1">
      <c r="A659" s="702"/>
      <c r="C659" s="390"/>
      <c r="G659" s="390" t="s">
        <v>870</v>
      </c>
    </row>
    <row r="660" ht="14.25" customHeight="1">
      <c r="A660" s="702"/>
      <c r="C660" s="390"/>
    </row>
    <row r="661" ht="14.25" customHeight="1">
      <c r="A661" s="727" t="s">
        <v>871</v>
      </c>
      <c r="B661" s="734">
        <v>44447.0</v>
      </c>
      <c r="C661" s="747" t="s">
        <v>864</v>
      </c>
      <c r="D661" s="560" t="s">
        <v>865</v>
      </c>
      <c r="E661" s="682"/>
      <c r="F661" s="560" t="s">
        <v>867</v>
      </c>
      <c r="G661" s="560" t="s">
        <v>242</v>
      </c>
      <c r="H661" s="560"/>
      <c r="I661" s="560" t="s">
        <v>668</v>
      </c>
      <c r="J661" s="682" t="s">
        <v>847</v>
      </c>
      <c r="K661" s="682" t="s">
        <v>872</v>
      </c>
      <c r="L661" s="682"/>
      <c r="M661" s="682"/>
    </row>
    <row r="662" ht="14.25" customHeight="1">
      <c r="A662" s="702"/>
      <c r="C662" s="390"/>
      <c r="E662" s="390" t="s">
        <v>873</v>
      </c>
      <c r="G662" s="390" t="s">
        <v>813</v>
      </c>
      <c r="J662" s="304" t="s">
        <v>874</v>
      </c>
      <c r="K662" s="304" t="s">
        <v>875</v>
      </c>
    </row>
    <row r="663" ht="14.25" customHeight="1">
      <c r="A663" s="702"/>
      <c r="C663" s="390"/>
      <c r="G663" s="390" t="s">
        <v>876</v>
      </c>
      <c r="K663" s="304" t="s">
        <v>877</v>
      </c>
    </row>
    <row r="664" ht="14.25" customHeight="1">
      <c r="A664" s="702"/>
      <c r="C664" s="390"/>
      <c r="K664" s="304" t="s">
        <v>878</v>
      </c>
    </row>
    <row r="665" ht="14.25" customHeight="1">
      <c r="A665" s="727" t="s">
        <v>879</v>
      </c>
      <c r="B665" s="734">
        <v>44449.0</v>
      </c>
      <c r="C665" s="747" t="s">
        <v>880</v>
      </c>
      <c r="D665" s="560" t="s">
        <v>865</v>
      </c>
      <c r="E665" s="560">
        <v>2.4865002E7</v>
      </c>
      <c r="F665" s="560" t="s">
        <v>58</v>
      </c>
      <c r="G665" s="560" t="s">
        <v>242</v>
      </c>
      <c r="H665" s="560"/>
      <c r="I665" s="560" t="s">
        <v>225</v>
      </c>
      <c r="J665" s="682" t="s">
        <v>853</v>
      </c>
      <c r="K665" s="682"/>
      <c r="L665" s="682"/>
      <c r="M665" s="682"/>
    </row>
    <row r="666" ht="14.25" customHeight="1">
      <c r="A666" s="702"/>
      <c r="C666" s="390"/>
      <c r="F666" s="390" t="s">
        <v>881</v>
      </c>
      <c r="G666" s="390" t="s">
        <v>882</v>
      </c>
    </row>
    <row r="667" ht="14.25" customHeight="1">
      <c r="A667" s="702"/>
      <c r="C667" s="390"/>
    </row>
    <row r="668" ht="14.25" customHeight="1">
      <c r="A668" s="702"/>
    </row>
    <row r="669" ht="14.25" customHeight="1">
      <c r="A669" s="727" t="s">
        <v>883</v>
      </c>
      <c r="B669" s="734">
        <v>44454.0</v>
      </c>
      <c r="C669" s="747" t="s">
        <v>884</v>
      </c>
      <c r="D669" s="560" t="s">
        <v>40</v>
      </c>
      <c r="E669" s="682"/>
      <c r="F669" s="560" t="s">
        <v>885</v>
      </c>
      <c r="G669" s="560" t="s">
        <v>397</v>
      </c>
      <c r="H669" s="560"/>
      <c r="I669" s="560" t="s">
        <v>886</v>
      </c>
      <c r="J669" s="682" t="s">
        <v>887</v>
      </c>
      <c r="K669" s="682"/>
      <c r="L669" s="682"/>
      <c r="M669" s="682"/>
    </row>
    <row r="670" ht="14.25" customHeight="1">
      <c r="A670" s="702"/>
      <c r="C670" s="390"/>
      <c r="G670" s="390" t="s">
        <v>861</v>
      </c>
      <c r="J670" s="304" t="s">
        <v>888</v>
      </c>
    </row>
    <row r="671" ht="14.25" customHeight="1">
      <c r="A671" s="702"/>
      <c r="C671" s="390"/>
    </row>
    <row r="672" ht="14.25" customHeight="1">
      <c r="A672" s="702"/>
    </row>
    <row r="673" ht="14.25" customHeight="1">
      <c r="A673" s="727" t="s">
        <v>889</v>
      </c>
      <c r="B673" s="734">
        <v>44454.0</v>
      </c>
      <c r="C673" s="747" t="s">
        <v>884</v>
      </c>
      <c r="D673" s="560" t="s">
        <v>40</v>
      </c>
      <c r="E673" s="682"/>
      <c r="F673" s="560" t="s">
        <v>885</v>
      </c>
      <c r="G673" s="560" t="s">
        <v>397</v>
      </c>
      <c r="H673" s="560"/>
      <c r="I673" s="560" t="s">
        <v>886</v>
      </c>
      <c r="J673" s="682" t="s">
        <v>890</v>
      </c>
      <c r="K673" s="682"/>
      <c r="L673" s="682"/>
      <c r="M673" s="682"/>
    </row>
    <row r="674" ht="14.25" customHeight="1">
      <c r="A674" s="702"/>
      <c r="C674" s="390"/>
      <c r="G674" s="390" t="s">
        <v>861</v>
      </c>
    </row>
    <row r="675" ht="14.25" customHeight="1">
      <c r="A675" s="702"/>
      <c r="C675" s="390"/>
    </row>
    <row r="676" ht="14.25" customHeight="1">
      <c r="A676" s="702"/>
    </row>
    <row r="677" ht="14.25" customHeight="1">
      <c r="A677" s="727" t="s">
        <v>891</v>
      </c>
      <c r="B677" s="734">
        <v>44460.0</v>
      </c>
      <c r="C677" s="725" t="s">
        <v>544</v>
      </c>
      <c r="D677" s="560" t="s">
        <v>406</v>
      </c>
      <c r="E677" s="754" t="s">
        <v>892</v>
      </c>
      <c r="F677" s="560" t="s">
        <v>386</v>
      </c>
      <c r="G677" s="560" t="s">
        <v>397</v>
      </c>
      <c r="H677" s="560"/>
      <c r="I677" s="560" t="s">
        <v>22</v>
      </c>
      <c r="J677" s="682" t="s">
        <v>893</v>
      </c>
      <c r="K677" s="682"/>
      <c r="L677" s="682"/>
      <c r="M677" s="682"/>
      <c r="N677" s="682"/>
    </row>
    <row r="678" ht="14.25" customHeight="1">
      <c r="A678" s="702"/>
      <c r="C678" s="390"/>
      <c r="G678" s="390" t="s">
        <v>894</v>
      </c>
      <c r="H678" s="390"/>
      <c r="I678" s="390"/>
    </row>
    <row r="679" ht="14.25" customHeight="1">
      <c r="A679" s="702"/>
      <c r="C679" s="390"/>
      <c r="H679" s="390"/>
      <c r="I679" s="390"/>
    </row>
    <row r="680" ht="14.25" customHeight="1">
      <c r="A680" s="702"/>
      <c r="H680" s="390"/>
      <c r="I680" s="755"/>
      <c r="J680" s="700"/>
      <c r="K680" s="700"/>
    </row>
    <row r="681" ht="14.25" customHeight="1">
      <c r="A681" s="727" t="s">
        <v>895</v>
      </c>
      <c r="B681" s="734">
        <v>44460.0</v>
      </c>
      <c r="C681" s="738" t="s">
        <v>896</v>
      </c>
      <c r="D681" s="560" t="s">
        <v>406</v>
      </c>
      <c r="E681" s="560" t="s">
        <v>897</v>
      </c>
      <c r="F681" s="560" t="s">
        <v>386</v>
      </c>
      <c r="G681" s="560" t="s">
        <v>397</v>
      </c>
      <c r="H681" s="560"/>
      <c r="I681" s="390" t="s">
        <v>22</v>
      </c>
      <c r="L681" s="682"/>
      <c r="M681" s="682"/>
      <c r="N681" s="682"/>
    </row>
    <row r="682" ht="14.25" customHeight="1">
      <c r="A682" s="702"/>
      <c r="C682" s="390"/>
      <c r="G682" s="390" t="s">
        <v>894</v>
      </c>
      <c r="H682" s="390"/>
      <c r="I682" s="390"/>
    </row>
    <row r="683" ht="14.25" customHeight="1">
      <c r="A683" s="702"/>
      <c r="C683" s="390"/>
    </row>
    <row r="684" ht="14.25" customHeight="1">
      <c r="A684" s="702"/>
      <c r="J684" s="390"/>
    </row>
    <row r="685" ht="14.25" customHeight="1">
      <c r="A685" s="727" t="s">
        <v>898</v>
      </c>
      <c r="B685" s="734">
        <v>44467.0</v>
      </c>
      <c r="C685" s="725" t="s">
        <v>899</v>
      </c>
      <c r="D685" s="560" t="s">
        <v>40</v>
      </c>
      <c r="E685" s="560">
        <v>1.9494545E7</v>
      </c>
      <c r="F685" s="560" t="s">
        <v>386</v>
      </c>
      <c r="G685" s="560" t="s">
        <v>397</v>
      </c>
      <c r="H685" s="560"/>
      <c r="I685" s="560" t="s">
        <v>225</v>
      </c>
      <c r="J685" s="560" t="s">
        <v>900</v>
      </c>
      <c r="K685" s="682" t="s">
        <v>860</v>
      </c>
      <c r="L685" s="682"/>
      <c r="M685" s="682"/>
      <c r="N685" s="682"/>
    </row>
    <row r="686" ht="14.25" customHeight="1">
      <c r="A686" s="702"/>
      <c r="C686" s="390"/>
      <c r="G686" s="390" t="s">
        <v>901</v>
      </c>
      <c r="J686" s="390"/>
      <c r="K686" s="304" t="s">
        <v>902</v>
      </c>
    </row>
    <row r="687" ht="14.25" customHeight="1">
      <c r="A687" s="702"/>
      <c r="C687" s="390"/>
      <c r="J687" s="390"/>
    </row>
    <row r="688" ht="14.25" customHeight="1">
      <c r="A688" s="702"/>
      <c r="I688" s="390"/>
      <c r="J688" s="390"/>
    </row>
    <row r="689" ht="14.25" customHeight="1">
      <c r="A689" s="727" t="s">
        <v>903</v>
      </c>
      <c r="B689" s="734">
        <v>44470.0</v>
      </c>
      <c r="C689" s="725" t="s">
        <v>904</v>
      </c>
      <c r="D689" s="560" t="s">
        <v>40</v>
      </c>
      <c r="E689" s="693" t="s">
        <v>905</v>
      </c>
      <c r="F689" s="560" t="s">
        <v>386</v>
      </c>
      <c r="G689" s="560" t="s">
        <v>397</v>
      </c>
      <c r="H689" s="682"/>
      <c r="I689" s="560" t="s">
        <v>22</v>
      </c>
      <c r="J689" s="560" t="s">
        <v>900</v>
      </c>
      <c r="K689" s="682"/>
      <c r="L689" s="682"/>
      <c r="M689" s="682"/>
      <c r="N689" s="682"/>
    </row>
    <row r="690" ht="14.25" customHeight="1">
      <c r="A690" s="702"/>
      <c r="C690" s="390"/>
      <c r="G690" s="390"/>
      <c r="I690" s="390"/>
      <c r="J690" s="390"/>
    </row>
    <row r="691" ht="14.25" customHeight="1">
      <c r="A691" s="702"/>
      <c r="C691" s="390"/>
      <c r="I691" s="390"/>
      <c r="J691" s="390"/>
    </row>
    <row r="692" ht="14.25" customHeight="1">
      <c r="A692" s="702"/>
      <c r="I692" s="390"/>
      <c r="J692" s="390"/>
    </row>
    <row r="693" ht="14.25" customHeight="1">
      <c r="A693" s="727" t="s">
        <v>909</v>
      </c>
      <c r="B693" s="734">
        <v>44470.0</v>
      </c>
      <c r="C693" s="725" t="s">
        <v>910</v>
      </c>
      <c r="D693" s="560" t="s">
        <v>40</v>
      </c>
      <c r="E693" s="560">
        <v>2.0910513E7</v>
      </c>
      <c r="F693" s="560" t="s">
        <v>386</v>
      </c>
      <c r="G693" s="560" t="s">
        <v>397</v>
      </c>
      <c r="H693" s="682"/>
      <c r="I693" s="560" t="s">
        <v>22</v>
      </c>
      <c r="J693" s="560" t="s">
        <v>911</v>
      </c>
      <c r="K693" s="682"/>
      <c r="L693" s="682"/>
      <c r="M693" s="682"/>
      <c r="N693" s="682"/>
    </row>
    <row r="694" ht="14.25" customHeight="1">
      <c r="A694" s="702"/>
      <c r="C694" s="390"/>
      <c r="G694" s="390" t="s">
        <v>912</v>
      </c>
      <c r="H694" s="390" t="s">
        <v>913</v>
      </c>
      <c r="I694" s="390"/>
      <c r="J694" s="390"/>
    </row>
    <row r="695" ht="14.25" customHeight="1">
      <c r="A695" s="702"/>
      <c r="C695" s="390"/>
      <c r="I695" s="390"/>
      <c r="J695" s="390"/>
    </row>
    <row r="696" ht="14.25" customHeight="1">
      <c r="A696" s="702"/>
      <c r="I696" s="390"/>
      <c r="J696" s="390"/>
    </row>
    <row r="697" ht="14.25" customHeight="1">
      <c r="A697" s="727" t="s">
        <v>914</v>
      </c>
      <c r="B697" s="734">
        <v>44470.0</v>
      </c>
      <c r="C697" s="725" t="s">
        <v>2476</v>
      </c>
      <c r="D697" s="560" t="s">
        <v>954</v>
      </c>
      <c r="E697" s="560"/>
      <c r="F697" s="560" t="s">
        <v>2908</v>
      </c>
      <c r="G697" s="560" t="s">
        <v>397</v>
      </c>
      <c r="H697" s="682"/>
      <c r="I697" s="560" t="s">
        <v>22</v>
      </c>
      <c r="J697" s="560" t="s">
        <v>2909</v>
      </c>
      <c r="K697" s="682"/>
      <c r="L697" s="682"/>
      <c r="M697" s="682"/>
      <c r="N697" s="682"/>
    </row>
    <row r="698" ht="14.25" customHeight="1">
      <c r="A698" s="702"/>
      <c r="C698" s="390"/>
      <c r="G698" s="390" t="s">
        <v>916</v>
      </c>
      <c r="H698" s="390" t="s">
        <v>917</v>
      </c>
      <c r="I698" s="390"/>
      <c r="J698" s="390"/>
    </row>
    <row r="699" ht="14.25" customHeight="1">
      <c r="A699" s="702"/>
      <c r="C699" s="390"/>
      <c r="G699" s="390" t="s">
        <v>918</v>
      </c>
      <c r="J699" s="390"/>
    </row>
    <row r="700" ht="14.25" customHeight="1">
      <c r="A700" s="702"/>
      <c r="J700" s="390"/>
    </row>
    <row r="701" ht="14.25" customHeight="1">
      <c r="A701" s="727" t="s">
        <v>919</v>
      </c>
      <c r="B701" s="725" t="s">
        <v>920</v>
      </c>
      <c r="C701" s="725" t="s">
        <v>428</v>
      </c>
      <c r="D701" s="560" t="s">
        <v>40</v>
      </c>
      <c r="E701" s="560" t="s">
        <v>921</v>
      </c>
      <c r="F701" s="560" t="s">
        <v>386</v>
      </c>
      <c r="G701" s="560" t="s">
        <v>397</v>
      </c>
      <c r="H701" s="560" t="s">
        <v>917</v>
      </c>
      <c r="I701" s="560" t="s">
        <v>22</v>
      </c>
      <c r="J701" s="560" t="s">
        <v>922</v>
      </c>
      <c r="K701" s="304" t="s">
        <v>907</v>
      </c>
      <c r="L701" s="682"/>
      <c r="M701" s="682"/>
      <c r="N701" s="682"/>
    </row>
    <row r="702" ht="14.25" customHeight="1">
      <c r="A702" s="702"/>
      <c r="C702" s="390"/>
      <c r="G702" s="390"/>
      <c r="J702" s="390"/>
      <c r="K702" s="304" t="s">
        <v>907</v>
      </c>
    </row>
    <row r="703" ht="14.25" customHeight="1">
      <c r="A703" s="702"/>
      <c r="C703" s="390"/>
      <c r="J703" s="390"/>
    </row>
    <row r="704" ht="14.25" customHeight="1">
      <c r="A704" s="702"/>
      <c r="J704" s="390"/>
    </row>
    <row r="705" ht="14.25" customHeight="1">
      <c r="A705" s="727" t="s">
        <v>923</v>
      </c>
      <c r="B705" s="734">
        <v>44475.0</v>
      </c>
      <c r="C705" s="725" t="s">
        <v>924</v>
      </c>
      <c r="D705" s="560" t="s">
        <v>40</v>
      </c>
      <c r="E705" s="560" t="s">
        <v>925</v>
      </c>
      <c r="F705" s="560" t="s">
        <v>386</v>
      </c>
      <c r="G705" s="560" t="s">
        <v>397</v>
      </c>
      <c r="H705" s="560" t="s">
        <v>917</v>
      </c>
      <c r="I705" s="560" t="s">
        <v>22</v>
      </c>
      <c r="J705" s="560" t="s">
        <v>922</v>
      </c>
      <c r="K705" s="304" t="s">
        <v>907</v>
      </c>
      <c r="L705" s="682"/>
      <c r="M705" s="682"/>
      <c r="N705" s="682"/>
      <c r="O705" s="682"/>
      <c r="P705" s="682"/>
      <c r="Q705" s="682"/>
      <c r="R705" s="682"/>
      <c r="S705" s="682"/>
      <c r="T705" s="682"/>
      <c r="U705" s="682"/>
      <c r="V705" s="682"/>
      <c r="W705" s="682"/>
      <c r="X705" s="682"/>
      <c r="Y705" s="682"/>
      <c r="Z705" s="682"/>
      <c r="AA705" s="682"/>
      <c r="AB705" s="682"/>
      <c r="AC705" s="682"/>
      <c r="AD705" s="682"/>
      <c r="AE705" s="682"/>
    </row>
    <row r="706" ht="14.25" customHeight="1">
      <c r="A706" s="702"/>
      <c r="K706" s="304" t="s">
        <v>907</v>
      </c>
    </row>
    <row r="707" ht="14.25" customHeight="1">
      <c r="A707" s="702"/>
    </row>
    <row r="708" ht="14.25" customHeight="1">
      <c r="A708" s="702"/>
    </row>
    <row r="709" ht="14.25" customHeight="1">
      <c r="A709" s="727" t="s">
        <v>926</v>
      </c>
      <c r="B709" s="734">
        <v>44475.0</v>
      </c>
      <c r="C709" s="725" t="s">
        <v>927</v>
      </c>
      <c r="D709" s="560" t="s">
        <v>40</v>
      </c>
      <c r="E709" s="682"/>
      <c r="F709" s="560" t="s">
        <v>928</v>
      </c>
      <c r="G709" s="560" t="s">
        <v>595</v>
      </c>
      <c r="H709" s="682"/>
      <c r="I709" s="560" t="s">
        <v>22</v>
      </c>
      <c r="J709" s="682"/>
      <c r="K709" s="682"/>
      <c r="L709" s="682"/>
      <c r="M709" s="682"/>
      <c r="N709" s="682"/>
      <c r="O709" s="682"/>
      <c r="P709" s="682"/>
      <c r="Q709" s="682"/>
      <c r="R709" s="682"/>
      <c r="S709" s="682"/>
      <c r="T709" s="682"/>
      <c r="U709" s="682"/>
      <c r="V709" s="682"/>
      <c r="W709" s="682"/>
      <c r="X709" s="682"/>
      <c r="Y709" s="682"/>
      <c r="Z709" s="682"/>
      <c r="AA709" s="682"/>
      <c r="AB709" s="682"/>
      <c r="AC709" s="682"/>
      <c r="AD709" s="682"/>
      <c r="AE709" s="682"/>
    </row>
    <row r="710" ht="14.25" customHeight="1">
      <c r="A710" s="702"/>
    </row>
    <row r="711" ht="14.25" customHeight="1">
      <c r="A711" s="702"/>
    </row>
    <row r="712" ht="14.25" customHeight="1">
      <c r="A712" s="702"/>
    </row>
    <row r="713" ht="14.25" customHeight="1">
      <c r="A713" s="727" t="s">
        <v>929</v>
      </c>
      <c r="B713" s="734">
        <v>44475.0</v>
      </c>
      <c r="C713" s="725" t="s">
        <v>51</v>
      </c>
      <c r="D713" s="560" t="s">
        <v>40</v>
      </c>
      <c r="E713" s="682"/>
      <c r="F713" s="560" t="s">
        <v>928</v>
      </c>
      <c r="G713" s="560" t="s">
        <v>2910</v>
      </c>
      <c r="H713" s="682"/>
      <c r="I713" s="560" t="s">
        <v>22</v>
      </c>
      <c r="J713" s="682"/>
      <c r="K713" s="682"/>
      <c r="L713" s="682"/>
      <c r="M713" s="682"/>
      <c r="N713" s="682"/>
      <c r="O713" s="682"/>
      <c r="P713" s="682"/>
      <c r="Q713" s="682"/>
      <c r="R713" s="682"/>
      <c r="S713" s="682"/>
      <c r="T713" s="682"/>
      <c r="U713" s="682"/>
      <c r="V713" s="682"/>
      <c r="W713" s="682"/>
      <c r="X713" s="682"/>
      <c r="Y713" s="682"/>
      <c r="Z713" s="682"/>
      <c r="AA713" s="682"/>
      <c r="AB713" s="682"/>
      <c r="AC713" s="682"/>
      <c r="AD713" s="682"/>
      <c r="AE713" s="682"/>
    </row>
    <row r="714" ht="14.25" customHeight="1">
      <c r="A714" s="702"/>
    </row>
    <row r="715" ht="14.25" customHeight="1">
      <c r="A715" s="702"/>
    </row>
    <row r="716" ht="14.25" customHeight="1">
      <c r="A716" s="702"/>
      <c r="C716" s="313"/>
      <c r="F716" s="390"/>
    </row>
    <row r="717" ht="14.25" customHeight="1">
      <c r="A717" s="727" t="s">
        <v>937</v>
      </c>
      <c r="B717" s="728">
        <v>44483.0</v>
      </c>
      <c r="C717" s="725" t="s">
        <v>930</v>
      </c>
      <c r="D717" s="560" t="s">
        <v>931</v>
      </c>
      <c r="E717" s="560" t="s">
        <v>932</v>
      </c>
      <c r="F717" s="560" t="s">
        <v>933</v>
      </c>
      <c r="G717" s="560" t="s">
        <v>397</v>
      </c>
      <c r="H717" s="560" t="s">
        <v>917</v>
      </c>
      <c r="I717" s="560" t="s">
        <v>934</v>
      </c>
      <c r="J717" s="560" t="s">
        <v>468</v>
      </c>
      <c r="K717" s="682" t="s">
        <v>935</v>
      </c>
      <c r="L717" s="682"/>
      <c r="M717" s="682"/>
      <c r="N717" s="682"/>
      <c r="O717" s="682"/>
      <c r="P717" s="682"/>
      <c r="Q717" s="682"/>
      <c r="R717" s="682"/>
      <c r="S717" s="682"/>
      <c r="T717" s="682"/>
      <c r="U717" s="682"/>
      <c r="V717" s="682"/>
      <c r="W717" s="682"/>
      <c r="X717" s="682"/>
      <c r="Y717" s="682"/>
      <c r="Z717" s="682"/>
      <c r="AA717" s="682"/>
      <c r="AB717" s="682"/>
      <c r="AC717" s="682"/>
      <c r="AD717" s="682"/>
      <c r="AE717" s="682"/>
    </row>
    <row r="718" ht="14.25" customHeight="1">
      <c r="A718" s="702"/>
      <c r="C718" s="313"/>
      <c r="F718" s="390"/>
      <c r="G718" s="390" t="s">
        <v>936</v>
      </c>
      <c r="J718" s="390"/>
    </row>
    <row r="719" ht="14.25" customHeight="1">
      <c r="A719" s="702"/>
      <c r="C719" s="313"/>
      <c r="F719" s="390"/>
      <c r="J719" s="390"/>
    </row>
    <row r="720" ht="14.25" customHeight="1">
      <c r="A720" s="702"/>
      <c r="C720" s="313"/>
      <c r="F720" s="390"/>
      <c r="J720" s="390"/>
    </row>
    <row r="721" ht="14.25" customHeight="1">
      <c r="A721" s="727" t="s">
        <v>939</v>
      </c>
      <c r="B721" s="728">
        <v>44483.0</v>
      </c>
      <c r="C721" s="725" t="s">
        <v>930</v>
      </c>
      <c r="D721" s="560" t="s">
        <v>931</v>
      </c>
      <c r="E721" s="560" t="s">
        <v>938</v>
      </c>
      <c r="F721" s="560" t="s">
        <v>933</v>
      </c>
      <c r="G721" s="560" t="s">
        <v>397</v>
      </c>
      <c r="H721" s="560" t="s">
        <v>917</v>
      </c>
      <c r="I721" s="560" t="s">
        <v>934</v>
      </c>
      <c r="J721" s="560" t="s">
        <v>468</v>
      </c>
      <c r="K721" s="682"/>
      <c r="L721" s="682"/>
      <c r="M721" s="682"/>
      <c r="N721" s="682"/>
      <c r="O721" s="682"/>
      <c r="P721" s="682"/>
      <c r="Q721" s="682"/>
      <c r="R721" s="682"/>
      <c r="S721" s="682"/>
      <c r="T721" s="682"/>
      <c r="U721" s="682"/>
      <c r="V721" s="682"/>
      <c r="W721" s="682"/>
      <c r="X721" s="682"/>
      <c r="Y721" s="682"/>
      <c r="Z721" s="682"/>
      <c r="AA721" s="682"/>
      <c r="AB721" s="682"/>
      <c r="AC721" s="682"/>
      <c r="AD721" s="682"/>
      <c r="AE721" s="682"/>
    </row>
    <row r="722" ht="14.25" customHeight="1">
      <c r="A722" s="729"/>
      <c r="C722" s="313"/>
      <c r="F722" s="390"/>
      <c r="G722" s="390" t="s">
        <v>936</v>
      </c>
      <c r="J722" s="390"/>
    </row>
    <row r="723" ht="14.25" customHeight="1">
      <c r="A723" s="729"/>
      <c r="C723" s="313"/>
      <c r="F723" s="390"/>
      <c r="J723" s="390"/>
    </row>
    <row r="724" ht="14.25" customHeight="1">
      <c r="A724" s="729"/>
      <c r="C724" s="313"/>
      <c r="F724" s="390"/>
      <c r="J724" s="390"/>
    </row>
    <row r="725" ht="14.25" customHeight="1">
      <c r="A725" s="727" t="s">
        <v>941</v>
      </c>
      <c r="B725" s="728">
        <v>44483.0</v>
      </c>
      <c r="C725" s="725" t="s">
        <v>930</v>
      </c>
      <c r="D725" s="560" t="s">
        <v>931</v>
      </c>
      <c r="E725" s="560" t="s">
        <v>940</v>
      </c>
      <c r="F725" s="560" t="s">
        <v>933</v>
      </c>
      <c r="G725" s="560" t="s">
        <v>397</v>
      </c>
      <c r="H725" s="560" t="s">
        <v>917</v>
      </c>
      <c r="I725" s="560" t="s">
        <v>934</v>
      </c>
      <c r="J725" s="560" t="s">
        <v>468</v>
      </c>
      <c r="K725" s="682"/>
      <c r="L725" s="682"/>
      <c r="M725" s="682"/>
      <c r="N725" s="682"/>
      <c r="O725" s="682"/>
      <c r="P725" s="682"/>
      <c r="Q725" s="682"/>
      <c r="R725" s="682"/>
      <c r="S725" s="682"/>
      <c r="T725" s="682"/>
      <c r="U725" s="682"/>
      <c r="V725" s="682"/>
      <c r="W725" s="682"/>
      <c r="X725" s="682"/>
      <c r="Y725" s="682"/>
      <c r="Z725" s="682"/>
      <c r="AA725" s="682"/>
      <c r="AB725" s="682"/>
      <c r="AC725" s="682"/>
      <c r="AD725" s="682"/>
      <c r="AE725" s="682"/>
    </row>
    <row r="726" ht="14.25" customHeight="1">
      <c r="A726" s="729"/>
      <c r="C726" s="313"/>
      <c r="D726" s="390"/>
      <c r="F726" s="390"/>
      <c r="G726" s="390" t="s">
        <v>936</v>
      </c>
      <c r="J726" s="390"/>
    </row>
    <row r="727" ht="14.25" customHeight="1">
      <c r="A727" s="729"/>
      <c r="C727" s="313"/>
      <c r="F727" s="390"/>
      <c r="J727" s="390"/>
    </row>
    <row r="728" ht="14.25" customHeight="1">
      <c r="A728" s="729"/>
      <c r="C728" s="313"/>
      <c r="F728" s="390"/>
      <c r="J728" s="390"/>
    </row>
    <row r="729" ht="14.25" customHeight="1">
      <c r="A729" s="727" t="s">
        <v>943</v>
      </c>
      <c r="B729" s="728">
        <v>44483.0</v>
      </c>
      <c r="C729" s="725" t="s">
        <v>930</v>
      </c>
      <c r="D729" s="560" t="s">
        <v>931</v>
      </c>
      <c r="E729" s="560" t="s">
        <v>942</v>
      </c>
      <c r="F729" s="560" t="s">
        <v>933</v>
      </c>
      <c r="G729" s="560" t="s">
        <v>397</v>
      </c>
      <c r="H729" s="560" t="s">
        <v>917</v>
      </c>
      <c r="I729" s="560" t="s">
        <v>934</v>
      </c>
      <c r="J729" s="560" t="s">
        <v>468</v>
      </c>
      <c r="K729" s="682"/>
      <c r="L729" s="682"/>
      <c r="M729" s="682"/>
      <c r="N729" s="682"/>
      <c r="O729" s="682"/>
      <c r="P729" s="682"/>
      <c r="Q729" s="682"/>
      <c r="R729" s="682"/>
      <c r="S729" s="682"/>
      <c r="T729" s="682"/>
      <c r="U729" s="682"/>
      <c r="V729" s="682"/>
      <c r="W729" s="682"/>
      <c r="X729" s="682"/>
      <c r="Y729" s="682"/>
      <c r="Z729" s="682"/>
      <c r="AA729" s="682"/>
      <c r="AB729" s="682"/>
      <c r="AC729" s="682"/>
      <c r="AD729" s="682"/>
      <c r="AE729" s="682"/>
    </row>
    <row r="730" ht="14.25" customHeight="1">
      <c r="A730" s="729"/>
      <c r="F730" s="390"/>
      <c r="G730" s="390" t="s">
        <v>936</v>
      </c>
    </row>
    <row r="731" ht="14.25" customHeight="1">
      <c r="A731" s="702"/>
      <c r="F731" s="390"/>
    </row>
    <row r="732" ht="14.25" customHeight="1">
      <c r="A732" s="702"/>
      <c r="F732" s="390"/>
    </row>
    <row r="733" ht="14.25" customHeight="1">
      <c r="A733" s="727" t="s">
        <v>945</v>
      </c>
      <c r="B733" s="728">
        <v>44488.0</v>
      </c>
      <c r="C733" s="725" t="s">
        <v>946</v>
      </c>
      <c r="D733" s="560" t="s">
        <v>40</v>
      </c>
      <c r="E733" s="560">
        <v>1.7963235E7</v>
      </c>
      <c r="F733" s="560" t="s">
        <v>947</v>
      </c>
      <c r="G733" s="560" t="s">
        <v>948</v>
      </c>
      <c r="H733" s="560" t="s">
        <v>949</v>
      </c>
      <c r="I733" s="560" t="s">
        <v>34</v>
      </c>
      <c r="J733" s="560" t="s">
        <v>950</v>
      </c>
      <c r="K733" s="682"/>
      <c r="L733" s="682"/>
      <c r="M733" s="682"/>
      <c r="N733" s="682"/>
    </row>
    <row r="734">
      <c r="A734" s="702"/>
      <c r="C734" s="717"/>
      <c r="F734" s="390" t="s">
        <v>822</v>
      </c>
      <c r="J734" s="390" t="s">
        <v>951</v>
      </c>
    </row>
    <row r="735">
      <c r="A735" s="702"/>
      <c r="C735" s="717"/>
      <c r="F735" s="390" t="s">
        <v>58</v>
      </c>
    </row>
    <row r="736">
      <c r="A736" s="702"/>
      <c r="C736" s="717"/>
      <c r="F736" s="390"/>
    </row>
    <row r="737" ht="14.25" customHeight="1">
      <c r="A737" s="727" t="s">
        <v>952</v>
      </c>
      <c r="B737" s="728">
        <v>44489.0</v>
      </c>
      <c r="C737" s="725" t="s">
        <v>953</v>
      </c>
      <c r="D737" s="560" t="s">
        <v>954</v>
      </c>
      <c r="E737" s="560" t="s">
        <v>955</v>
      </c>
      <c r="F737" s="560" t="s">
        <v>956</v>
      </c>
      <c r="G737" s="560" t="s">
        <v>948</v>
      </c>
      <c r="H737" s="560" t="s">
        <v>917</v>
      </c>
      <c r="I737" s="560" t="s">
        <v>957</v>
      </c>
      <c r="J737" s="560" t="s">
        <v>958</v>
      </c>
      <c r="K737" s="682"/>
      <c r="L737" s="682"/>
    </row>
    <row r="738" ht="14.25" customHeight="1">
      <c r="A738" s="702"/>
      <c r="C738" s="717"/>
      <c r="F738" s="390" t="s">
        <v>959</v>
      </c>
      <c r="J738" s="390" t="s">
        <v>960</v>
      </c>
    </row>
    <row r="739" ht="14.25" customHeight="1">
      <c r="A739" s="702"/>
      <c r="C739" s="717"/>
      <c r="F739" s="390" t="s">
        <v>58</v>
      </c>
      <c r="J739" s="390" t="s">
        <v>961</v>
      </c>
    </row>
    <row r="740" ht="14.25" customHeight="1">
      <c r="A740" s="702"/>
      <c r="C740" s="717"/>
      <c r="F740" s="390"/>
    </row>
    <row r="741" ht="14.25" customHeight="1">
      <c r="A741" s="727" t="s">
        <v>962</v>
      </c>
      <c r="B741" s="728">
        <v>44489.0</v>
      </c>
      <c r="C741" s="725" t="s">
        <v>963</v>
      </c>
      <c r="D741" s="560" t="s">
        <v>954</v>
      </c>
      <c r="E741" s="560" t="s">
        <v>964</v>
      </c>
      <c r="F741" s="560" t="s">
        <v>965</v>
      </c>
      <c r="G741" s="560" t="s">
        <v>948</v>
      </c>
      <c r="H741" s="560" t="s">
        <v>917</v>
      </c>
      <c r="I741" s="560" t="s">
        <v>225</v>
      </c>
      <c r="J741" s="560" t="s">
        <v>966</v>
      </c>
      <c r="K741" s="682"/>
      <c r="L741" s="682"/>
    </row>
    <row r="742" ht="14.25" customHeight="1">
      <c r="A742" s="702"/>
    </row>
    <row r="743" ht="14.25" customHeight="1">
      <c r="A743" s="702"/>
    </row>
    <row r="744" ht="14.25" customHeight="1">
      <c r="A744" s="702"/>
    </row>
    <row r="745" ht="14.25" customHeight="1">
      <c r="A745" s="727" t="s">
        <v>968</v>
      </c>
      <c r="B745" s="728">
        <v>44491.0</v>
      </c>
      <c r="C745" s="725" t="s">
        <v>969</v>
      </c>
      <c r="D745" s="560" t="s">
        <v>40</v>
      </c>
      <c r="E745" s="560">
        <v>2.6130694E7</v>
      </c>
      <c r="F745" s="560" t="s">
        <v>386</v>
      </c>
      <c r="G745" s="560" t="s">
        <v>948</v>
      </c>
      <c r="H745" s="682"/>
      <c r="I745" s="560" t="s">
        <v>22</v>
      </c>
      <c r="J745" s="560" t="s">
        <v>971</v>
      </c>
      <c r="K745" s="560" t="s">
        <v>972</v>
      </c>
      <c r="L745" s="682"/>
      <c r="M745" s="682"/>
      <c r="N745" s="682"/>
      <c r="O745" s="682"/>
      <c r="P745" s="682"/>
      <c r="Q745" s="682"/>
      <c r="R745" s="682"/>
      <c r="S745" s="682"/>
      <c r="T745" s="682"/>
      <c r="U745" s="682"/>
      <c r="V745" s="682"/>
      <c r="W745" s="682"/>
      <c r="X745" s="682"/>
      <c r="Y745" s="682"/>
      <c r="Z745" s="682"/>
      <c r="AA745" s="682"/>
      <c r="AB745" s="682"/>
      <c r="AC745" s="682"/>
      <c r="AD745" s="682"/>
      <c r="AE745" s="682"/>
    </row>
    <row r="746" ht="14.25" customHeight="1">
      <c r="A746" s="702"/>
      <c r="G746" s="390" t="s">
        <v>973</v>
      </c>
      <c r="J746" s="390"/>
      <c r="K746" s="390" t="s">
        <v>974</v>
      </c>
    </row>
    <row r="747" ht="14.25" customHeight="1">
      <c r="A747" s="702"/>
    </row>
    <row r="748" ht="14.25" customHeight="1">
      <c r="A748" s="702"/>
    </row>
    <row r="749" ht="14.25" customHeight="1">
      <c r="A749" s="727" t="s">
        <v>975</v>
      </c>
      <c r="B749" s="728">
        <v>44491.0</v>
      </c>
      <c r="C749" s="725" t="s">
        <v>2376</v>
      </c>
      <c r="D749" s="560" t="s">
        <v>40</v>
      </c>
      <c r="E749" s="560"/>
      <c r="F749" s="560" t="s">
        <v>386</v>
      </c>
      <c r="G749" s="560" t="s">
        <v>397</v>
      </c>
      <c r="H749" s="560"/>
      <c r="I749" s="560" t="s">
        <v>22</v>
      </c>
      <c r="J749" s="560" t="s">
        <v>978</v>
      </c>
      <c r="K749" s="560"/>
      <c r="L749" s="560"/>
      <c r="M749" s="560"/>
      <c r="N749" s="560"/>
      <c r="O749" s="560"/>
      <c r="P749" s="560"/>
      <c r="Q749" s="560"/>
      <c r="R749" s="560"/>
      <c r="S749" s="560"/>
      <c r="T749" s="560"/>
      <c r="U749" s="560"/>
      <c r="V749" s="560"/>
      <c r="W749" s="560"/>
      <c r="X749" s="560"/>
      <c r="Y749" s="560"/>
      <c r="Z749" s="560"/>
      <c r="AA749" s="560"/>
      <c r="AB749" s="560"/>
      <c r="AC749" s="560"/>
      <c r="AD749" s="560"/>
      <c r="AE749" s="560"/>
    </row>
    <row r="750" ht="14.25" customHeight="1">
      <c r="A750" s="702"/>
    </row>
    <row r="751" ht="14.25" customHeight="1">
      <c r="A751" s="702"/>
    </row>
    <row r="752" ht="14.25" customHeight="1">
      <c r="A752" s="702"/>
    </row>
    <row r="753" ht="14.25" customHeight="1">
      <c r="A753" s="727" t="s">
        <v>979</v>
      </c>
      <c r="B753" s="728">
        <v>44491.0</v>
      </c>
      <c r="C753" s="725" t="s">
        <v>980</v>
      </c>
      <c r="D753" s="560" t="s">
        <v>406</v>
      </c>
      <c r="E753" s="743" t="s">
        <v>981</v>
      </c>
      <c r="F753" s="560" t="s">
        <v>386</v>
      </c>
      <c r="G753" s="560" t="s">
        <v>397</v>
      </c>
      <c r="H753" s="560" t="s">
        <v>917</v>
      </c>
      <c r="I753" s="560" t="s">
        <v>225</v>
      </c>
      <c r="J753" s="560" t="s">
        <v>982</v>
      </c>
      <c r="K753" s="682"/>
      <c r="L753" s="682"/>
    </row>
    <row r="754" ht="14.25" customHeight="1">
      <c r="A754" s="702"/>
      <c r="J754" s="390" t="s">
        <v>862</v>
      </c>
    </row>
    <row r="755" ht="14.25" customHeight="1">
      <c r="A755" s="702"/>
    </row>
    <row r="756" ht="14.25" customHeight="1">
      <c r="A756" s="702"/>
    </row>
    <row r="757" ht="14.25" customHeight="1">
      <c r="A757" s="727" t="s">
        <v>983</v>
      </c>
      <c r="B757" s="728">
        <v>44491.0</v>
      </c>
      <c r="C757" s="725" t="s">
        <v>984</v>
      </c>
      <c r="D757" s="560" t="s">
        <v>40</v>
      </c>
      <c r="E757" s="682"/>
      <c r="F757" s="560" t="s">
        <v>985</v>
      </c>
      <c r="G757" s="560" t="s">
        <v>986</v>
      </c>
      <c r="H757" s="560" t="s">
        <v>917</v>
      </c>
      <c r="I757" s="560" t="s">
        <v>34</v>
      </c>
      <c r="J757" s="560" t="s">
        <v>987</v>
      </c>
      <c r="K757" s="682"/>
    </row>
    <row r="758" ht="14.25" customHeight="1">
      <c r="A758" s="702"/>
      <c r="J758" s="304" t="s">
        <v>988</v>
      </c>
    </row>
    <row r="759" ht="14.25" customHeight="1">
      <c r="A759" s="702"/>
      <c r="J759" s="304" t="s">
        <v>989</v>
      </c>
    </row>
    <row r="760" ht="14.25" customHeight="1">
      <c r="A760" s="702"/>
    </row>
    <row r="761" ht="14.25" customHeight="1">
      <c r="A761" s="727" t="s">
        <v>990</v>
      </c>
      <c r="B761" s="728">
        <v>44498.0</v>
      </c>
      <c r="C761" s="725" t="s">
        <v>433</v>
      </c>
      <c r="D761" s="682" t="s">
        <v>373</v>
      </c>
      <c r="E761" s="682"/>
      <c r="F761" s="560" t="s">
        <v>991</v>
      </c>
      <c r="G761" s="560" t="s">
        <v>992</v>
      </c>
      <c r="H761" s="682"/>
      <c r="I761" s="682"/>
      <c r="J761" s="682"/>
      <c r="K761" s="682"/>
    </row>
    <row r="762" ht="14.25" customHeight="1">
      <c r="A762" s="702"/>
      <c r="F762" s="390"/>
    </row>
    <row r="763" ht="14.25" customHeight="1">
      <c r="A763" s="702"/>
      <c r="F763" s="390"/>
    </row>
    <row r="764" ht="14.25" customHeight="1">
      <c r="A764" s="702"/>
      <c r="F764" s="390"/>
    </row>
    <row r="765" ht="14.25" customHeight="1">
      <c r="A765" s="727" t="s">
        <v>993</v>
      </c>
      <c r="B765" s="728">
        <v>44498.0</v>
      </c>
      <c r="C765" s="725" t="s">
        <v>994</v>
      </c>
      <c r="D765" s="682" t="s">
        <v>373</v>
      </c>
      <c r="E765" s="682"/>
      <c r="F765" s="560" t="s">
        <v>991</v>
      </c>
      <c r="G765" s="560" t="s">
        <v>992</v>
      </c>
      <c r="H765" s="682"/>
      <c r="I765" s="560" t="s">
        <v>22</v>
      </c>
      <c r="J765" s="682"/>
      <c r="K765" s="682"/>
    </row>
    <row r="766" ht="14.25" customHeight="1">
      <c r="A766" s="702"/>
      <c r="F766" s="390" t="s">
        <v>995</v>
      </c>
    </row>
    <row r="767" ht="14.25" customHeight="1">
      <c r="A767" s="702"/>
    </row>
    <row r="768" ht="14.25" customHeight="1">
      <c r="A768" s="702"/>
    </row>
    <row r="769" ht="14.25" customHeight="1">
      <c r="A769" s="727" t="s">
        <v>996</v>
      </c>
      <c r="B769" s="728">
        <v>44499.0</v>
      </c>
      <c r="C769" s="725" t="s">
        <v>997</v>
      </c>
      <c r="D769" s="560" t="s">
        <v>998</v>
      </c>
      <c r="E769" s="682"/>
      <c r="F769" s="560" t="s">
        <v>999</v>
      </c>
      <c r="G769" s="560" t="s">
        <v>1000</v>
      </c>
      <c r="H769" s="682"/>
      <c r="I769" s="560" t="s">
        <v>22</v>
      </c>
      <c r="J769" s="682"/>
      <c r="K769" s="682"/>
    </row>
    <row r="770" ht="14.25" customHeight="1">
      <c r="A770" s="702"/>
    </row>
    <row r="771" ht="14.25" customHeight="1">
      <c r="A771" s="702"/>
    </row>
    <row r="772" ht="14.25" customHeight="1">
      <c r="A772" s="702"/>
    </row>
    <row r="773" ht="14.25" customHeight="1">
      <c r="A773" s="727" t="s">
        <v>1001</v>
      </c>
      <c r="B773" s="728">
        <v>44504.0</v>
      </c>
      <c r="C773" s="725" t="s">
        <v>85</v>
      </c>
      <c r="D773" s="560" t="s">
        <v>954</v>
      </c>
      <c r="E773" s="560" t="s">
        <v>1002</v>
      </c>
      <c r="F773" s="560" t="s">
        <v>1003</v>
      </c>
      <c r="G773" s="560" t="s">
        <v>723</v>
      </c>
      <c r="H773" s="560" t="s">
        <v>917</v>
      </c>
      <c r="I773" s="560" t="s">
        <v>22</v>
      </c>
      <c r="J773" s="560" t="s">
        <v>1004</v>
      </c>
      <c r="K773" s="682"/>
    </row>
    <row r="774" ht="14.25" customHeight="1">
      <c r="A774" s="702"/>
      <c r="G774" s="390" t="s">
        <v>1005</v>
      </c>
    </row>
    <row r="775" ht="14.25" customHeight="1">
      <c r="A775" s="702"/>
    </row>
    <row r="776" ht="14.25" customHeight="1">
      <c r="A776" s="702"/>
    </row>
    <row r="777" ht="14.25" customHeight="1">
      <c r="A777" s="727" t="s">
        <v>1006</v>
      </c>
      <c r="B777" s="728">
        <v>44505.0</v>
      </c>
      <c r="C777" s="725" t="s">
        <v>1007</v>
      </c>
      <c r="D777" s="560" t="s">
        <v>40</v>
      </c>
      <c r="E777" s="560">
        <v>2.7767571E7</v>
      </c>
      <c r="F777" s="560" t="s">
        <v>58</v>
      </c>
      <c r="G777" s="560" t="s">
        <v>382</v>
      </c>
      <c r="H777" s="560" t="s">
        <v>917</v>
      </c>
      <c r="I777" s="560" t="s">
        <v>34</v>
      </c>
      <c r="J777" s="560" t="s">
        <v>1008</v>
      </c>
      <c r="K777" s="682"/>
    </row>
    <row r="778" ht="14.25" customHeight="1">
      <c r="A778" s="702"/>
      <c r="F778" s="390"/>
      <c r="I778" s="390"/>
      <c r="J778" s="390" t="s">
        <v>1009</v>
      </c>
    </row>
    <row r="779" ht="14.25" customHeight="1">
      <c r="A779" s="702"/>
      <c r="F779" s="390"/>
      <c r="I779" s="390"/>
    </row>
    <row r="780" ht="14.25" customHeight="1">
      <c r="A780" s="702"/>
      <c r="F780" s="390"/>
      <c r="I780" s="390"/>
    </row>
    <row r="781" ht="14.25" customHeight="1">
      <c r="A781" s="727" t="s">
        <v>1010</v>
      </c>
      <c r="B781" s="728">
        <v>44505.0</v>
      </c>
      <c r="C781" s="728" t="s">
        <v>514</v>
      </c>
      <c r="D781" s="560" t="s">
        <v>40</v>
      </c>
      <c r="E781" s="560" t="s">
        <v>1011</v>
      </c>
      <c r="F781" s="560" t="s">
        <v>58</v>
      </c>
      <c r="G781" s="560" t="s">
        <v>382</v>
      </c>
      <c r="H781" s="560" t="s">
        <v>917</v>
      </c>
      <c r="I781" s="560" t="s">
        <v>34</v>
      </c>
      <c r="J781" s="560" t="s">
        <v>1004</v>
      </c>
      <c r="K781" s="682" t="s">
        <v>1012</v>
      </c>
    </row>
    <row r="782" ht="14.25" customHeight="1">
      <c r="A782" s="702"/>
      <c r="F782" s="390"/>
      <c r="I782" s="390"/>
      <c r="J782" s="390" t="s">
        <v>1009</v>
      </c>
    </row>
    <row r="783" ht="14.25" customHeight="1">
      <c r="A783" s="702"/>
      <c r="F783" s="390"/>
      <c r="I783" s="390"/>
    </row>
    <row r="784" ht="14.25" customHeight="1">
      <c r="A784" s="702"/>
      <c r="F784" s="390"/>
      <c r="I784" s="390"/>
    </row>
    <row r="785" ht="14.25" customHeight="1">
      <c r="A785" s="727" t="s">
        <v>1013</v>
      </c>
      <c r="B785" s="728">
        <v>44505.0</v>
      </c>
      <c r="C785" s="728" t="s">
        <v>1014</v>
      </c>
      <c r="D785" s="560" t="s">
        <v>40</v>
      </c>
      <c r="E785" s="560" t="s">
        <v>1015</v>
      </c>
      <c r="F785" s="560" t="s">
        <v>58</v>
      </c>
      <c r="G785" s="560" t="s">
        <v>382</v>
      </c>
      <c r="H785" s="560" t="s">
        <v>1016</v>
      </c>
      <c r="I785" s="560" t="s">
        <v>34</v>
      </c>
      <c r="J785" s="560" t="s">
        <v>468</v>
      </c>
      <c r="K785" s="682" t="s">
        <v>1017</v>
      </c>
    </row>
    <row r="786" ht="14.25" customHeight="1">
      <c r="A786" s="729"/>
      <c r="J786" s="560" t="s">
        <v>468</v>
      </c>
    </row>
    <row r="787" ht="14.25" customHeight="1">
      <c r="A787" s="702"/>
      <c r="F787" s="390"/>
      <c r="I787" s="390"/>
      <c r="J787" s="390"/>
    </row>
    <row r="788" ht="14.25" customHeight="1">
      <c r="A788" s="756" t="s">
        <v>1018</v>
      </c>
      <c r="B788" s="728">
        <v>44505.0</v>
      </c>
      <c r="C788" s="725" t="s">
        <v>1019</v>
      </c>
      <c r="D788" s="560" t="s">
        <v>954</v>
      </c>
      <c r="E788" s="560" t="s">
        <v>1020</v>
      </c>
      <c r="F788" s="560" t="s">
        <v>1021</v>
      </c>
      <c r="G788" s="560" t="s">
        <v>986</v>
      </c>
      <c r="H788" s="560" t="s">
        <v>1016</v>
      </c>
      <c r="I788" s="560" t="s">
        <v>34</v>
      </c>
      <c r="J788" s="757" t="s">
        <v>1022</v>
      </c>
      <c r="K788" s="682"/>
    </row>
    <row r="789" ht="14.25" customHeight="1">
      <c r="A789" s="702"/>
      <c r="F789" s="390"/>
      <c r="G789" s="390" t="s">
        <v>1023</v>
      </c>
      <c r="I789" s="390"/>
      <c r="J789" s="390"/>
    </row>
    <row r="790" ht="14.25" customHeight="1">
      <c r="A790" s="702"/>
    </row>
    <row r="791" ht="14.25" customHeight="1">
      <c r="A791" s="727" t="s">
        <v>1024</v>
      </c>
      <c r="B791" s="728">
        <v>44509.0</v>
      </c>
      <c r="C791" s="758" t="s">
        <v>1025</v>
      </c>
      <c r="D791" s="560" t="s">
        <v>406</v>
      </c>
      <c r="E791" s="560" t="s">
        <v>1026</v>
      </c>
      <c r="F791" s="560" t="s">
        <v>58</v>
      </c>
      <c r="G791" s="560" t="s">
        <v>382</v>
      </c>
      <c r="H791" s="560" t="s">
        <v>1016</v>
      </c>
      <c r="I791" s="560" t="s">
        <v>34</v>
      </c>
      <c r="J791" s="560" t="s">
        <v>1027</v>
      </c>
      <c r="K791" s="682"/>
    </row>
    <row r="792" ht="14.25" customHeight="1">
      <c r="A792" s="702"/>
      <c r="F792" s="390"/>
      <c r="G792" s="390" t="s">
        <v>818</v>
      </c>
      <c r="I792" s="390"/>
      <c r="J792" s="390"/>
    </row>
    <row r="793" ht="14.25" customHeight="1">
      <c r="A793" s="702"/>
    </row>
    <row r="794" ht="14.25" customHeight="1">
      <c r="A794" s="727" t="s">
        <v>1028</v>
      </c>
      <c r="B794" s="728">
        <v>44509.0</v>
      </c>
      <c r="C794" s="725" t="s">
        <v>1029</v>
      </c>
      <c r="D794" s="560" t="s">
        <v>406</v>
      </c>
      <c r="E794" s="560" t="s">
        <v>1030</v>
      </c>
      <c r="F794" s="560" t="s">
        <v>58</v>
      </c>
      <c r="G794" s="560" t="s">
        <v>382</v>
      </c>
      <c r="H794" s="560" t="s">
        <v>1016</v>
      </c>
      <c r="I794" s="560" t="s">
        <v>34</v>
      </c>
      <c r="J794" s="560" t="s">
        <v>1027</v>
      </c>
      <c r="K794" s="682"/>
    </row>
    <row r="795" ht="14.25" customHeight="1">
      <c r="A795" s="702"/>
      <c r="F795" s="390"/>
      <c r="G795" s="390" t="s">
        <v>1031</v>
      </c>
      <c r="I795" s="390"/>
      <c r="J795" s="390"/>
    </row>
    <row r="796" ht="14.25" customHeight="1">
      <c r="A796" s="702"/>
    </row>
    <row r="797" ht="14.25" customHeight="1">
      <c r="A797" s="727" t="s">
        <v>1032</v>
      </c>
      <c r="B797" s="728">
        <v>44509.0</v>
      </c>
      <c r="C797" s="725" t="s">
        <v>280</v>
      </c>
      <c r="D797" s="560" t="s">
        <v>406</v>
      </c>
      <c r="E797" s="560" t="s">
        <v>1033</v>
      </c>
      <c r="F797" s="560" t="s">
        <v>58</v>
      </c>
      <c r="G797" s="560" t="s">
        <v>382</v>
      </c>
      <c r="H797" s="560" t="s">
        <v>1016</v>
      </c>
      <c r="I797" s="560" t="s">
        <v>34</v>
      </c>
      <c r="J797" s="560" t="s">
        <v>1027</v>
      </c>
      <c r="K797" s="682"/>
    </row>
    <row r="798" ht="14.25" customHeight="1">
      <c r="A798" s="702"/>
      <c r="F798" s="390"/>
      <c r="G798" s="390" t="s">
        <v>825</v>
      </c>
      <c r="I798" s="390"/>
      <c r="J798" s="304" t="s">
        <v>1034</v>
      </c>
    </row>
    <row r="799" ht="14.25" customHeight="1">
      <c r="A799" s="702"/>
    </row>
    <row r="800" ht="14.25" customHeight="1">
      <c r="A800" s="727" t="s">
        <v>1035</v>
      </c>
      <c r="B800" s="728">
        <v>44509.0</v>
      </c>
      <c r="C800" s="725" t="s">
        <v>1036</v>
      </c>
      <c r="D800" s="560" t="s">
        <v>406</v>
      </c>
      <c r="E800" s="560" t="s">
        <v>1037</v>
      </c>
      <c r="F800" s="560" t="s">
        <v>58</v>
      </c>
      <c r="G800" s="560" t="s">
        <v>382</v>
      </c>
      <c r="H800" s="560" t="s">
        <v>1016</v>
      </c>
      <c r="I800" s="560" t="s">
        <v>34</v>
      </c>
      <c r="J800" s="560" t="s">
        <v>1027</v>
      </c>
      <c r="K800" s="682"/>
    </row>
    <row r="801" ht="14.25" customHeight="1">
      <c r="A801" s="702"/>
      <c r="F801" s="390"/>
      <c r="G801" s="390" t="s">
        <v>1031</v>
      </c>
      <c r="I801" s="390"/>
      <c r="J801" s="390"/>
    </row>
    <row r="802" ht="14.25" customHeight="1">
      <c r="A802" s="702"/>
    </row>
    <row r="803" ht="14.25" customHeight="1">
      <c r="A803" s="727" t="s">
        <v>1038</v>
      </c>
      <c r="B803" s="728">
        <v>44509.0</v>
      </c>
      <c r="C803" s="725" t="s">
        <v>510</v>
      </c>
      <c r="D803" s="560" t="s">
        <v>406</v>
      </c>
      <c r="E803" s="560"/>
      <c r="F803" s="560" t="s">
        <v>1039</v>
      </c>
      <c r="G803" s="560" t="s">
        <v>382</v>
      </c>
      <c r="H803" s="560" t="s">
        <v>1040</v>
      </c>
      <c r="I803" s="560" t="s">
        <v>34</v>
      </c>
      <c r="J803" s="560" t="s">
        <v>1009</v>
      </c>
      <c r="K803" s="682"/>
    </row>
    <row r="804" ht="14.25" customHeight="1">
      <c r="A804" s="702"/>
      <c r="F804" s="390"/>
      <c r="G804" s="390" t="s">
        <v>1041</v>
      </c>
      <c r="I804" s="390"/>
    </row>
    <row r="805" ht="14.25" customHeight="1">
      <c r="A805" s="702"/>
    </row>
    <row r="806" ht="14.25" customHeight="1">
      <c r="A806" s="727" t="s">
        <v>1042</v>
      </c>
      <c r="B806" s="728">
        <v>44515.0</v>
      </c>
      <c r="C806" s="725" t="s">
        <v>1043</v>
      </c>
      <c r="D806" s="560" t="s">
        <v>842</v>
      </c>
      <c r="E806" s="560" t="s">
        <v>1044</v>
      </c>
      <c r="F806" s="560" t="s">
        <v>58</v>
      </c>
      <c r="G806" s="560" t="s">
        <v>382</v>
      </c>
      <c r="H806" s="560" t="s">
        <v>1045</v>
      </c>
      <c r="I806" s="560" t="s">
        <v>225</v>
      </c>
      <c r="J806" s="682"/>
      <c r="K806" s="682"/>
    </row>
    <row r="807" ht="14.25" customHeight="1">
      <c r="A807" s="702"/>
      <c r="F807" s="390"/>
      <c r="G807" s="390" t="s">
        <v>1047</v>
      </c>
      <c r="I807" s="390"/>
    </row>
    <row r="808" ht="14.25" customHeight="1">
      <c r="A808" s="702"/>
    </row>
    <row r="809" ht="14.25" customHeight="1">
      <c r="A809" s="727" t="s">
        <v>1048</v>
      </c>
      <c r="B809" s="728">
        <v>44517.0</v>
      </c>
      <c r="C809" s="725" t="s">
        <v>1049</v>
      </c>
      <c r="D809" s="560" t="s">
        <v>842</v>
      </c>
      <c r="E809" s="560" t="s">
        <v>1050</v>
      </c>
      <c r="F809" s="560" t="s">
        <v>58</v>
      </c>
      <c r="G809" s="560" t="s">
        <v>397</v>
      </c>
      <c r="H809" s="560" t="s">
        <v>1045</v>
      </c>
      <c r="I809" s="560" t="s">
        <v>225</v>
      </c>
      <c r="J809" s="682" t="s">
        <v>1051</v>
      </c>
      <c r="K809" s="682"/>
    </row>
    <row r="810" ht="14.25" customHeight="1">
      <c r="A810" s="702"/>
      <c r="G810" s="390" t="s">
        <v>1052</v>
      </c>
    </row>
    <row r="811" ht="14.25" customHeight="1">
      <c r="A811" s="702"/>
    </row>
    <row r="812" ht="14.25" customHeight="1">
      <c r="A812" s="727" t="s">
        <v>1053</v>
      </c>
      <c r="B812" s="728">
        <v>44517.0</v>
      </c>
      <c r="C812" s="725" t="s">
        <v>1049</v>
      </c>
      <c r="D812" s="560" t="s">
        <v>842</v>
      </c>
      <c r="E812" s="560" t="s">
        <v>1054</v>
      </c>
      <c r="F812" s="560" t="s">
        <v>58</v>
      </c>
      <c r="G812" s="560" t="s">
        <v>397</v>
      </c>
      <c r="H812" s="560" t="s">
        <v>1045</v>
      </c>
      <c r="I812" s="560" t="s">
        <v>225</v>
      </c>
      <c r="J812" s="682" t="s">
        <v>1051</v>
      </c>
      <c r="K812" s="682" t="s">
        <v>1017</v>
      </c>
    </row>
    <row r="813" ht="14.25" customHeight="1">
      <c r="A813" s="702"/>
      <c r="G813" s="390" t="s">
        <v>1052</v>
      </c>
    </row>
    <row r="814" ht="14.25" customHeight="1">
      <c r="A814" s="702"/>
    </row>
    <row r="815" ht="14.25" customHeight="1">
      <c r="A815" s="727" t="s">
        <v>1055</v>
      </c>
      <c r="B815" s="728">
        <v>44518.0</v>
      </c>
      <c r="C815" s="725" t="s">
        <v>1056</v>
      </c>
      <c r="D815" s="560" t="s">
        <v>842</v>
      </c>
      <c r="E815" s="560" t="s">
        <v>1057</v>
      </c>
      <c r="F815" s="560" t="s">
        <v>58</v>
      </c>
      <c r="G815" s="560" t="s">
        <v>397</v>
      </c>
      <c r="H815" s="560" t="s">
        <v>1058</v>
      </c>
      <c r="I815" s="560" t="s">
        <v>225</v>
      </c>
      <c r="J815" s="682"/>
      <c r="K815" s="682" t="s">
        <v>1017</v>
      </c>
    </row>
    <row r="816" ht="14.25" customHeight="1">
      <c r="A816" s="702"/>
      <c r="G816" s="390" t="s">
        <v>1052</v>
      </c>
      <c r="H816" s="759" t="s">
        <v>1059</v>
      </c>
    </row>
    <row r="817" ht="14.25" customHeight="1">
      <c r="A817" s="702"/>
    </row>
    <row r="818" ht="14.25" customHeight="1">
      <c r="A818" s="756" t="s">
        <v>1060</v>
      </c>
      <c r="B818" s="728">
        <v>44505.0</v>
      </c>
      <c r="C818" s="725" t="s">
        <v>1019</v>
      </c>
      <c r="D818" s="560" t="s">
        <v>954</v>
      </c>
      <c r="E818" s="560" t="s">
        <v>1020</v>
      </c>
      <c r="F818" s="560" t="s">
        <v>1021</v>
      </c>
      <c r="G818" s="560" t="s">
        <v>986</v>
      </c>
      <c r="H818" s="560" t="s">
        <v>1016</v>
      </c>
      <c r="I818" s="560" t="s">
        <v>34</v>
      </c>
      <c r="J818" s="757" t="s">
        <v>1061</v>
      </c>
      <c r="K818" s="682"/>
    </row>
    <row r="819" ht="14.25" customHeight="1">
      <c r="A819" s="702"/>
      <c r="F819" s="390"/>
      <c r="G819" s="390" t="s">
        <v>1023</v>
      </c>
      <c r="I819" s="390"/>
      <c r="J819" s="390"/>
    </row>
    <row r="820" ht="14.25" customHeight="1">
      <c r="A820" s="702"/>
    </row>
    <row r="821" ht="14.25" customHeight="1">
      <c r="A821" s="727" t="s">
        <v>1062</v>
      </c>
      <c r="B821" s="728">
        <v>44526.0</v>
      </c>
      <c r="C821" s="725" t="s">
        <v>1063</v>
      </c>
      <c r="D821" s="560" t="s">
        <v>772</v>
      </c>
      <c r="E821" s="560" t="s">
        <v>515</v>
      </c>
      <c r="F821" s="560" t="s">
        <v>1064</v>
      </c>
      <c r="G821" s="560" t="s">
        <v>397</v>
      </c>
      <c r="H821" s="560" t="s">
        <v>1065</v>
      </c>
      <c r="I821" s="560" t="s">
        <v>668</v>
      </c>
      <c r="J821" s="682" t="s">
        <v>1066</v>
      </c>
      <c r="K821" s="682" t="s">
        <v>1067</v>
      </c>
    </row>
    <row r="822" ht="14.25" customHeight="1">
      <c r="A822" s="702"/>
      <c r="G822" s="390" t="s">
        <v>1052</v>
      </c>
    </row>
    <row r="823" ht="14.25" customHeight="1">
      <c r="A823" s="702"/>
    </row>
    <row r="824" ht="14.25" customHeight="1">
      <c r="A824" s="727" t="s">
        <v>1068</v>
      </c>
      <c r="B824" s="734">
        <v>44531.0</v>
      </c>
      <c r="C824" s="725" t="s">
        <v>884</v>
      </c>
      <c r="D824" s="560" t="s">
        <v>1069</v>
      </c>
      <c r="E824" s="682"/>
      <c r="F824" s="560" t="s">
        <v>1070</v>
      </c>
      <c r="G824" s="560" t="s">
        <v>397</v>
      </c>
      <c r="H824" s="560" t="s">
        <v>1071</v>
      </c>
      <c r="I824" s="560" t="s">
        <v>668</v>
      </c>
      <c r="J824" s="682"/>
      <c r="K824" s="682"/>
    </row>
    <row r="825" ht="14.25" customHeight="1">
      <c r="A825" s="702"/>
      <c r="G825" s="390" t="s">
        <v>1072</v>
      </c>
      <c r="H825" s="390" t="s">
        <v>1073</v>
      </c>
    </row>
    <row r="826" ht="14.25" customHeight="1">
      <c r="A826" s="702"/>
    </row>
    <row r="827" ht="14.25" customHeight="1">
      <c r="A827" s="727" t="s">
        <v>1074</v>
      </c>
      <c r="B827" s="734">
        <v>44531.0</v>
      </c>
      <c r="C827" s="725" t="s">
        <v>1075</v>
      </c>
      <c r="D827" s="560" t="s">
        <v>706</v>
      </c>
      <c r="E827" s="682"/>
      <c r="F827" s="560" t="s">
        <v>867</v>
      </c>
      <c r="G827" s="560" t="s">
        <v>397</v>
      </c>
      <c r="H827" s="560" t="s">
        <v>1076</v>
      </c>
      <c r="I827" s="560" t="s">
        <v>668</v>
      </c>
      <c r="J827" s="682"/>
      <c r="K827" s="682"/>
    </row>
    <row r="828" ht="14.25" customHeight="1">
      <c r="A828" s="702"/>
      <c r="G828" s="390" t="s">
        <v>1077</v>
      </c>
    </row>
    <row r="829" ht="14.25" customHeight="1">
      <c r="A829" s="702"/>
    </row>
    <row r="830" ht="14.25" customHeight="1">
      <c r="A830" s="727" t="s">
        <v>1078</v>
      </c>
      <c r="B830" s="734">
        <v>44531.0</v>
      </c>
      <c r="C830" s="725" t="s">
        <v>1079</v>
      </c>
      <c r="D830" s="560" t="s">
        <v>842</v>
      </c>
      <c r="E830" s="560" t="s">
        <v>1080</v>
      </c>
      <c r="F830" s="560" t="s">
        <v>58</v>
      </c>
      <c r="G830" s="560" t="s">
        <v>397</v>
      </c>
      <c r="H830" s="560" t="s">
        <v>1076</v>
      </c>
      <c r="I830" s="560" t="s">
        <v>668</v>
      </c>
      <c r="J830" s="682"/>
      <c r="K830" s="682"/>
    </row>
    <row r="831" ht="14.25" customHeight="1">
      <c r="A831" s="702"/>
      <c r="G831" s="390" t="s">
        <v>1077</v>
      </c>
    </row>
    <row r="832" ht="14.25" customHeight="1">
      <c r="A832" s="702"/>
    </row>
    <row r="833" ht="14.25" customHeight="1">
      <c r="A833" s="727" t="s">
        <v>1081</v>
      </c>
      <c r="B833" s="734">
        <v>44533.0</v>
      </c>
      <c r="C833" s="725" t="s">
        <v>698</v>
      </c>
      <c r="D833" s="560" t="s">
        <v>1082</v>
      </c>
      <c r="E833" s="682"/>
      <c r="F833" s="560" t="s">
        <v>58</v>
      </c>
      <c r="G833" s="560" t="s">
        <v>397</v>
      </c>
      <c r="H833" s="560" t="s">
        <v>1083</v>
      </c>
      <c r="I833" s="560" t="s">
        <v>34</v>
      </c>
      <c r="J833" s="560" t="s">
        <v>1027</v>
      </c>
      <c r="K833" s="682"/>
    </row>
    <row r="834" ht="14.25" customHeight="1">
      <c r="A834" s="702"/>
      <c r="G834" s="390" t="s">
        <v>825</v>
      </c>
      <c r="H834" s="390" t="s">
        <v>1073</v>
      </c>
    </row>
    <row r="835" ht="14.25" customHeight="1">
      <c r="A835" s="702"/>
    </row>
    <row r="836" ht="14.25" customHeight="1">
      <c r="A836" s="727" t="s">
        <v>1084</v>
      </c>
      <c r="B836" s="734">
        <v>44533.0</v>
      </c>
      <c r="C836" s="725" t="s">
        <v>1085</v>
      </c>
      <c r="D836" s="560" t="s">
        <v>1082</v>
      </c>
      <c r="E836" s="682"/>
      <c r="F836" s="560" t="s">
        <v>58</v>
      </c>
      <c r="G836" s="560" t="s">
        <v>397</v>
      </c>
      <c r="H836" s="560" t="s">
        <v>1083</v>
      </c>
      <c r="I836" s="560" t="s">
        <v>34</v>
      </c>
      <c r="J836" s="560" t="s">
        <v>1027</v>
      </c>
      <c r="K836" s="682"/>
    </row>
    <row r="837" ht="14.25" customHeight="1">
      <c r="A837" s="702"/>
      <c r="G837" s="390" t="s">
        <v>1077</v>
      </c>
      <c r="H837" s="390" t="s">
        <v>1073</v>
      </c>
    </row>
    <row r="838" ht="14.25" customHeight="1">
      <c r="A838" s="702"/>
    </row>
    <row r="839" ht="14.25" customHeight="1">
      <c r="A839" s="727" t="s">
        <v>1086</v>
      </c>
      <c r="B839" s="734">
        <v>44533.0</v>
      </c>
      <c r="C839" s="725" t="s">
        <v>1087</v>
      </c>
      <c r="D839" s="560" t="s">
        <v>1082</v>
      </c>
      <c r="E839" s="682"/>
      <c r="F839" s="560" t="s">
        <v>58</v>
      </c>
      <c r="G839" s="560" t="s">
        <v>397</v>
      </c>
      <c r="H839" s="560" t="s">
        <v>1083</v>
      </c>
      <c r="I839" s="560" t="s">
        <v>34</v>
      </c>
      <c r="J839" s="560" t="s">
        <v>1027</v>
      </c>
      <c r="K839" s="682"/>
    </row>
    <row r="840" ht="14.25" customHeight="1">
      <c r="A840" s="702"/>
      <c r="G840" s="390" t="s">
        <v>901</v>
      </c>
      <c r="H840" s="390" t="s">
        <v>1073</v>
      </c>
    </row>
    <row r="841" ht="14.25" customHeight="1">
      <c r="A841" s="702"/>
    </row>
    <row r="842" ht="14.25" customHeight="1">
      <c r="A842" s="727" t="s">
        <v>1088</v>
      </c>
      <c r="B842" s="734">
        <v>44544.0</v>
      </c>
      <c r="C842" s="725" t="s">
        <v>1089</v>
      </c>
      <c r="D842" s="560" t="s">
        <v>842</v>
      </c>
      <c r="E842" s="754" t="s">
        <v>1090</v>
      </c>
      <c r="F842" s="560" t="s">
        <v>1091</v>
      </c>
      <c r="G842" s="560" t="s">
        <v>397</v>
      </c>
      <c r="H842" s="682"/>
      <c r="I842" s="560" t="s">
        <v>225</v>
      </c>
      <c r="J842" s="682"/>
      <c r="K842" s="682"/>
    </row>
    <row r="843" ht="14.25" customHeight="1">
      <c r="A843" s="702"/>
      <c r="G843" s="390" t="s">
        <v>1052</v>
      </c>
    </row>
    <row r="844" ht="14.25" customHeight="1">
      <c r="A844" s="702"/>
    </row>
    <row r="845" ht="14.25" customHeight="1">
      <c r="A845" s="727" t="s">
        <v>1093</v>
      </c>
      <c r="B845" s="728">
        <v>44540.0</v>
      </c>
      <c r="C845" s="725" t="s">
        <v>1094</v>
      </c>
      <c r="D845" s="560" t="s">
        <v>842</v>
      </c>
      <c r="E845" s="560" t="s">
        <v>1095</v>
      </c>
      <c r="F845" s="560" t="s">
        <v>822</v>
      </c>
      <c r="G845" s="560" t="s">
        <v>397</v>
      </c>
      <c r="H845" s="682" t="s">
        <v>1096</v>
      </c>
      <c r="I845" s="560" t="s">
        <v>668</v>
      </c>
      <c r="J845" s="682"/>
      <c r="K845" s="682"/>
    </row>
    <row r="846" ht="14.25" customHeight="1">
      <c r="A846" s="702"/>
      <c r="G846" s="390" t="s">
        <v>825</v>
      </c>
    </row>
    <row r="847" ht="14.25" customHeight="1">
      <c r="A847" s="702"/>
    </row>
    <row r="848" ht="14.25" customHeight="1">
      <c r="A848" s="727" t="s">
        <v>1097</v>
      </c>
      <c r="B848" s="728">
        <v>44540.0</v>
      </c>
      <c r="C848" s="725" t="s">
        <v>1094</v>
      </c>
      <c r="D848" s="560" t="s">
        <v>842</v>
      </c>
      <c r="E848" s="560" t="s">
        <v>1098</v>
      </c>
      <c r="F848" s="560" t="s">
        <v>822</v>
      </c>
      <c r="G848" s="560" t="s">
        <v>397</v>
      </c>
      <c r="H848" s="682" t="s">
        <v>1099</v>
      </c>
      <c r="I848" s="560" t="s">
        <v>668</v>
      </c>
      <c r="J848" s="682"/>
      <c r="K848" s="682"/>
    </row>
    <row r="849" ht="14.25" customHeight="1">
      <c r="A849" s="702"/>
      <c r="G849" s="390" t="s">
        <v>825</v>
      </c>
    </row>
    <row r="850" ht="14.25" customHeight="1">
      <c r="A850" s="702"/>
    </row>
    <row r="851" ht="14.25" customHeight="1">
      <c r="A851" s="727" t="s">
        <v>1100</v>
      </c>
      <c r="B851" s="728">
        <v>44540.0</v>
      </c>
      <c r="C851" s="725" t="s">
        <v>1101</v>
      </c>
      <c r="D851" s="560" t="s">
        <v>842</v>
      </c>
      <c r="E851" s="560" t="s">
        <v>1102</v>
      </c>
      <c r="F851" s="560" t="s">
        <v>1103</v>
      </c>
      <c r="G851" s="560" t="s">
        <v>397</v>
      </c>
      <c r="H851" s="682"/>
      <c r="I851" s="560" t="s">
        <v>668</v>
      </c>
      <c r="J851" s="682"/>
      <c r="K851" s="682"/>
    </row>
    <row r="852" ht="14.25" customHeight="1">
      <c r="A852" s="702"/>
      <c r="G852" s="390" t="s">
        <v>1077</v>
      </c>
    </row>
    <row r="853" ht="14.25" customHeight="1">
      <c r="A853" s="702"/>
    </row>
    <row r="854" ht="14.25" customHeight="1">
      <c r="A854" s="727" t="s">
        <v>1104</v>
      </c>
      <c r="B854" s="728">
        <v>44540.0</v>
      </c>
      <c r="C854" s="725" t="s">
        <v>1105</v>
      </c>
      <c r="D854" s="560" t="s">
        <v>706</v>
      </c>
      <c r="E854" s="560">
        <v>2.7920372E7</v>
      </c>
      <c r="F854" s="560" t="s">
        <v>1106</v>
      </c>
      <c r="G854" s="560" t="s">
        <v>397</v>
      </c>
      <c r="H854" s="682" t="s">
        <v>1107</v>
      </c>
      <c r="I854" s="560" t="s">
        <v>668</v>
      </c>
      <c r="J854" s="682"/>
      <c r="K854" s="682"/>
    </row>
    <row r="855" ht="14.25" customHeight="1">
      <c r="A855" s="702"/>
      <c r="C855" s="313"/>
      <c r="G855" s="390" t="s">
        <v>1072</v>
      </c>
    </row>
    <row r="856" ht="14.25" customHeight="1">
      <c r="A856" s="702"/>
      <c r="C856" s="313"/>
    </row>
    <row r="857" ht="14.25" customHeight="1">
      <c r="A857" s="727" t="s">
        <v>1108</v>
      </c>
      <c r="B857" s="728">
        <v>44540.0</v>
      </c>
      <c r="C857" s="725" t="s">
        <v>2911</v>
      </c>
      <c r="D857" s="560" t="s">
        <v>706</v>
      </c>
      <c r="E857" s="560">
        <v>2.7917629E7</v>
      </c>
      <c r="F857" s="560" t="s">
        <v>1106</v>
      </c>
      <c r="G857" s="560" t="s">
        <v>397</v>
      </c>
      <c r="H857" s="682" t="s">
        <v>1110</v>
      </c>
      <c r="I857" s="560" t="s">
        <v>668</v>
      </c>
      <c r="J857" s="682"/>
      <c r="K857" s="682"/>
    </row>
    <row r="858" ht="14.25" customHeight="1">
      <c r="A858" s="702"/>
      <c r="C858" s="313"/>
      <c r="G858" s="390" t="s">
        <v>1072</v>
      </c>
    </row>
    <row r="859" ht="14.25" customHeight="1">
      <c r="A859" s="702"/>
      <c r="C859" s="313"/>
    </row>
    <row r="860" ht="14.25" customHeight="1">
      <c r="A860" s="727" t="s">
        <v>1111</v>
      </c>
      <c r="B860" s="728">
        <v>44540.0</v>
      </c>
      <c r="C860" s="725" t="s">
        <v>2912</v>
      </c>
      <c r="D860" s="560" t="s">
        <v>706</v>
      </c>
      <c r="E860" s="560">
        <v>2.7918191E7</v>
      </c>
      <c r="F860" s="560" t="s">
        <v>1106</v>
      </c>
      <c r="G860" s="560" t="s">
        <v>397</v>
      </c>
      <c r="H860" s="682" t="s">
        <v>1110</v>
      </c>
      <c r="I860" s="560" t="s">
        <v>668</v>
      </c>
      <c r="J860" s="682"/>
      <c r="K860" s="682"/>
    </row>
    <row r="861" ht="14.25" customHeight="1">
      <c r="A861" s="702"/>
      <c r="G861" s="390" t="s">
        <v>1072</v>
      </c>
      <c r="H861" s="304" t="s">
        <v>1107</v>
      </c>
    </row>
    <row r="862" ht="14.25" customHeight="1">
      <c r="A862" s="702"/>
    </row>
    <row r="863" ht="14.25" customHeight="1">
      <c r="A863" s="727" t="s">
        <v>1115</v>
      </c>
      <c r="B863" s="728">
        <v>44544.0</v>
      </c>
      <c r="C863" s="725" t="s">
        <v>1116</v>
      </c>
      <c r="D863" s="560" t="s">
        <v>842</v>
      </c>
      <c r="E863" s="760" t="s">
        <v>1117</v>
      </c>
      <c r="F863" s="560" t="s">
        <v>1091</v>
      </c>
      <c r="G863" s="560" t="s">
        <v>397</v>
      </c>
      <c r="H863" s="682" t="s">
        <v>1118</v>
      </c>
      <c r="I863" s="560" t="s">
        <v>225</v>
      </c>
      <c r="J863" s="682"/>
      <c r="K863" s="682"/>
    </row>
    <row r="864" ht="14.25" customHeight="1">
      <c r="A864" s="702"/>
      <c r="G864" s="390" t="s">
        <v>1052</v>
      </c>
    </row>
    <row r="865" ht="14.25" customHeight="1">
      <c r="A865" s="702"/>
    </row>
    <row r="866" ht="14.25" customHeight="1">
      <c r="A866" s="727" t="s">
        <v>1120</v>
      </c>
      <c r="B866" s="728">
        <v>44546.0</v>
      </c>
      <c r="C866" s="725" t="s">
        <v>1121</v>
      </c>
      <c r="D866" s="560" t="s">
        <v>842</v>
      </c>
      <c r="E866" s="560" t="s">
        <v>2913</v>
      </c>
      <c r="F866" s="560" t="s">
        <v>58</v>
      </c>
      <c r="G866" s="560" t="s">
        <v>397</v>
      </c>
      <c r="H866" s="682"/>
      <c r="I866" s="560" t="s">
        <v>225</v>
      </c>
      <c r="J866" s="682"/>
      <c r="K866" s="682"/>
    </row>
    <row r="867" ht="14.25" customHeight="1">
      <c r="A867" s="702"/>
      <c r="D867" s="390"/>
      <c r="G867" s="390" t="s">
        <v>1052</v>
      </c>
    </row>
    <row r="868" ht="14.25" customHeight="1">
      <c r="A868" s="702"/>
      <c r="D868" s="390"/>
    </row>
    <row r="869" ht="14.25" customHeight="1">
      <c r="A869" s="727" t="s">
        <v>1124</v>
      </c>
      <c r="B869" s="728">
        <v>44546.0</v>
      </c>
      <c r="C869" s="725" t="s">
        <v>1125</v>
      </c>
      <c r="D869" s="560" t="s">
        <v>842</v>
      </c>
      <c r="E869" s="560" t="s">
        <v>1126</v>
      </c>
      <c r="F869" s="560" t="s">
        <v>58</v>
      </c>
      <c r="G869" s="560" t="s">
        <v>397</v>
      </c>
      <c r="H869" s="682"/>
      <c r="I869" s="560" t="s">
        <v>225</v>
      </c>
      <c r="J869" s="682"/>
      <c r="K869" s="682"/>
    </row>
    <row r="870" ht="14.25" customHeight="1">
      <c r="A870" s="702"/>
      <c r="G870" s="390" t="s">
        <v>825</v>
      </c>
    </row>
    <row r="871" ht="14.25" customHeight="1">
      <c r="A871" s="702"/>
    </row>
    <row r="872" ht="14.25" customHeight="1">
      <c r="A872" s="727" t="s">
        <v>1127</v>
      </c>
      <c r="B872" s="728">
        <v>44546.0</v>
      </c>
      <c r="C872" s="725" t="s">
        <v>1128</v>
      </c>
      <c r="D872" s="560" t="s">
        <v>706</v>
      </c>
      <c r="E872" s="560" t="s">
        <v>2914</v>
      </c>
      <c r="F872" s="560" t="s">
        <v>1130</v>
      </c>
      <c r="G872" s="560" t="s">
        <v>397</v>
      </c>
      <c r="H872" s="682"/>
      <c r="I872" s="560" t="s">
        <v>225</v>
      </c>
      <c r="J872" s="682"/>
      <c r="K872" s="682"/>
    </row>
    <row r="873" ht="14.25" customHeight="1">
      <c r="A873" s="702"/>
      <c r="G873" s="390" t="s">
        <v>1072</v>
      </c>
    </row>
    <row r="874" ht="14.25" customHeight="1">
      <c r="A874" s="702"/>
    </row>
    <row r="875" ht="14.25" customHeight="1">
      <c r="A875" s="727" t="s">
        <v>1131</v>
      </c>
      <c r="B875" s="728">
        <v>44547.0</v>
      </c>
      <c r="C875" s="725" t="s">
        <v>1089</v>
      </c>
      <c r="D875" s="560" t="s">
        <v>842</v>
      </c>
      <c r="E875" s="682"/>
      <c r="F875" s="560" t="s">
        <v>1132</v>
      </c>
      <c r="G875" s="560" t="s">
        <v>1133</v>
      </c>
      <c r="H875" s="682" t="s">
        <v>1134</v>
      </c>
      <c r="I875" s="560" t="s">
        <v>225</v>
      </c>
      <c r="J875" s="682"/>
      <c r="K875" s="682"/>
    </row>
    <row r="876" ht="14.25" customHeight="1">
      <c r="A876" s="702"/>
      <c r="G876" s="390"/>
      <c r="H876" s="304" t="s">
        <v>1136</v>
      </c>
    </row>
    <row r="877" ht="14.25" customHeight="1">
      <c r="A877" s="702"/>
      <c r="H877" s="304" t="s">
        <v>1137</v>
      </c>
    </row>
    <row r="878" ht="14.25" customHeight="1">
      <c r="A878" s="727"/>
      <c r="B878" s="728"/>
      <c r="C878" s="725"/>
      <c r="D878" s="560"/>
      <c r="E878" s="682"/>
      <c r="F878" s="560"/>
      <c r="G878" s="560"/>
      <c r="H878" s="682"/>
      <c r="I878" s="560"/>
      <c r="J878" s="682"/>
      <c r="K878" s="682"/>
    </row>
    <row r="879" ht="14.25" customHeight="1">
      <c r="A879" s="702"/>
      <c r="G879" s="390"/>
    </row>
    <row r="880" ht="14.25" customHeight="1">
      <c r="A880" s="702"/>
    </row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</sheetData>
  <printOptions gridLines="1"/>
  <pageMargins bottom="0.75" footer="0.0" header="0.0" left="0.7" right="0.7" top="0.75"/>
  <pageSetup scale="5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2019-11-27T09:27:54Z</dcterms:created>
  <dc:creator>u175047</dc:creator>
</cp:coreProperties>
</file>